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526" codeName="{899C9086-67A9-5B14-2C2D-5A8001700F7D}"/>
  <workbookPr codeName="ThisWorkbook"/>
  <mc:AlternateContent xmlns:mc="http://schemas.openxmlformats.org/markup-compatibility/2006">
    <mc:Choice Requires="x15">
      <x15ac:absPath xmlns:x15ac="http://schemas.microsoft.com/office/spreadsheetml/2010/11/ac" url="C:\Users\YDaoui\Downloads\"/>
    </mc:Choice>
  </mc:AlternateContent>
  <xr:revisionPtr revIDLastSave="0" documentId="13_ncr:1_{5EDF1E65-14E0-43EE-ACC5-9D071AEBAA15}" xr6:coauthVersionLast="47" xr6:coauthVersionMax="47" xr10:uidLastSave="{00000000-0000-0000-0000-000000000000}"/>
  <bookViews>
    <workbookView xWindow="-120" yWindow="-120" windowWidth="24240" windowHeight="13140" activeTab="2" xr2:uid="{00000000-000D-0000-FFFF-FFFF00000000}"/>
  </bookViews>
  <sheets>
    <sheet name="Console" sheetId="1" r:id="rId1"/>
    <sheet name="Legend" sheetId="2" r:id="rId2"/>
    <sheet name="DataBase" sheetId="3" r:id="rId3"/>
    <sheet name="Feuil1" sheetId="4" r:id="rId4"/>
    <sheet name="Rappel" sheetId="5" r:id="rId5"/>
  </sheets>
  <definedNames>
    <definedName name="_xlnm._FilterDatabase" localSheetId="2" hidden="1">DataBase!$A$10:$M$1626</definedName>
    <definedName name="_xlnm._FilterDatabase" localSheetId="3" hidden="1">Feuil1!$B$1:$F$248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3" i="1" l="1"/>
  <c r="E3" i="1"/>
  <c r="E8" i="1"/>
  <c r="F28" i="1" s="1"/>
  <c r="D18" i="1"/>
  <c r="D17" i="1"/>
  <c r="E17" i="1"/>
  <c r="J28" i="1" s="1"/>
  <c r="A54" i="3"/>
  <c r="B54" i="3"/>
  <c r="C54" i="3"/>
  <c r="D54" i="3"/>
  <c r="E31" i="1"/>
  <c r="L35" i="1"/>
  <c r="K35" i="1"/>
  <c r="J35" i="1"/>
  <c r="I35" i="1"/>
  <c r="H35" i="1"/>
  <c r="G35" i="1"/>
  <c r="F35" i="1"/>
  <c r="E35" i="1"/>
  <c r="D35" i="1"/>
  <c r="L28" i="1"/>
  <c r="K28" i="1"/>
  <c r="I28" i="1"/>
  <c r="H28" i="1"/>
  <c r="G28" i="1"/>
  <c r="D28" i="1"/>
  <c r="A51" i="3"/>
  <c r="A53"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B51" i="3"/>
  <c r="B53" i="3"/>
  <c r="B55" i="3"/>
  <c r="B56" i="3"/>
  <c r="B57" i="3"/>
  <c r="B58" i="3"/>
  <c r="B59" i="3"/>
  <c r="B60" i="3"/>
  <c r="B61" i="3"/>
  <c r="B62" i="3"/>
  <c r="B63" i="3"/>
  <c r="B64" i="3"/>
  <c r="B65" i="3"/>
  <c r="B66" i="3"/>
  <c r="B67" i="3"/>
  <c r="B68" i="3"/>
  <c r="B69" i="3"/>
  <c r="B70" i="3"/>
  <c r="B71" i="3"/>
  <c r="B72" i="3"/>
  <c r="B73" i="3"/>
  <c r="B74" i="3"/>
  <c r="B75" i="3"/>
  <c r="B76" i="3"/>
  <c r="B77" i="3"/>
  <c r="B78" i="3"/>
  <c r="B79" i="3"/>
  <c r="B80" i="3"/>
  <c r="B81" i="3"/>
  <c r="B82" i="3"/>
  <c r="B83" i="3"/>
  <c r="B84" i="3"/>
  <c r="B85" i="3"/>
  <c r="B86" i="3"/>
  <c r="B87" i="3"/>
  <c r="B88" i="3"/>
  <c r="B89" i="3"/>
  <c r="B90" i="3"/>
  <c r="B91" i="3"/>
  <c r="B92" i="3"/>
  <c r="B93" i="3"/>
  <c r="B94" i="3"/>
  <c r="B95" i="3"/>
  <c r="B96" i="3"/>
  <c r="B97" i="3"/>
  <c r="B98" i="3"/>
  <c r="B99" i="3"/>
  <c r="B100" i="3"/>
  <c r="B101" i="3"/>
  <c r="B102" i="3"/>
  <c r="B103" i="3"/>
  <c r="B104" i="3"/>
  <c r="B105" i="3"/>
  <c r="B106" i="3"/>
  <c r="B107" i="3"/>
  <c r="B108" i="3"/>
  <c r="B109" i="3"/>
  <c r="B110" i="3"/>
  <c r="B111" i="3"/>
  <c r="B112" i="3"/>
  <c r="B113" i="3"/>
  <c r="B114" i="3"/>
  <c r="B115" i="3"/>
  <c r="B116" i="3"/>
  <c r="B117" i="3"/>
  <c r="B118" i="3"/>
  <c r="B119" i="3"/>
  <c r="B120" i="3"/>
  <c r="B121" i="3"/>
  <c r="B122" i="3"/>
  <c r="B123" i="3"/>
  <c r="B124" i="3"/>
  <c r="B125" i="3"/>
  <c r="B126" i="3"/>
  <c r="B127" i="3"/>
  <c r="B128" i="3"/>
  <c r="B129" i="3"/>
  <c r="B130" i="3"/>
  <c r="B131" i="3"/>
  <c r="B132" i="3"/>
  <c r="B133" i="3"/>
  <c r="B134" i="3"/>
  <c r="B135" i="3"/>
  <c r="B136" i="3"/>
  <c r="B137" i="3"/>
  <c r="B138" i="3"/>
  <c r="B139" i="3"/>
  <c r="B140" i="3"/>
  <c r="B141" i="3"/>
  <c r="B142" i="3"/>
  <c r="B143" i="3"/>
  <c r="B144" i="3"/>
  <c r="B145" i="3"/>
  <c r="B146" i="3"/>
  <c r="B147" i="3"/>
  <c r="B148" i="3"/>
  <c r="B149" i="3"/>
  <c r="B150" i="3"/>
  <c r="B151" i="3"/>
  <c r="B152" i="3"/>
  <c r="B153" i="3"/>
  <c r="B154" i="3"/>
  <c r="B155" i="3"/>
  <c r="B156" i="3"/>
  <c r="B157" i="3"/>
  <c r="B158" i="3"/>
  <c r="B159" i="3"/>
  <c r="B160" i="3"/>
  <c r="B161" i="3"/>
  <c r="B162" i="3"/>
  <c r="B163" i="3"/>
  <c r="B164" i="3"/>
  <c r="B165" i="3"/>
  <c r="B166" i="3"/>
  <c r="B167" i="3"/>
  <c r="B168" i="3"/>
  <c r="B169" i="3"/>
  <c r="B170" i="3"/>
  <c r="B171" i="3"/>
  <c r="B172" i="3"/>
  <c r="B173" i="3"/>
  <c r="B174" i="3"/>
  <c r="B175" i="3"/>
  <c r="B176" i="3"/>
  <c r="B177" i="3"/>
  <c r="B178" i="3"/>
  <c r="B179" i="3"/>
  <c r="B180" i="3"/>
  <c r="B181" i="3"/>
  <c r="B182" i="3"/>
  <c r="B183" i="3"/>
  <c r="B184" i="3"/>
  <c r="B185" i="3"/>
  <c r="B186" i="3"/>
  <c r="B187" i="3"/>
  <c r="B188" i="3"/>
  <c r="B189" i="3"/>
  <c r="B190" i="3"/>
  <c r="B191" i="3"/>
  <c r="B192" i="3"/>
  <c r="B193" i="3"/>
  <c r="B194" i="3"/>
  <c r="B195" i="3"/>
  <c r="B196" i="3"/>
  <c r="B197" i="3"/>
  <c r="B198" i="3"/>
  <c r="B199" i="3"/>
  <c r="B200" i="3"/>
  <c r="B201" i="3"/>
  <c r="B202" i="3"/>
  <c r="B203" i="3"/>
  <c r="B204" i="3"/>
  <c r="B205" i="3"/>
  <c r="B206" i="3"/>
  <c r="B207" i="3"/>
  <c r="B208" i="3"/>
  <c r="B209" i="3"/>
  <c r="B210" i="3"/>
  <c r="B211" i="3"/>
  <c r="B212" i="3"/>
  <c r="B213" i="3"/>
  <c r="B214" i="3"/>
  <c r="B215" i="3"/>
  <c r="B216" i="3"/>
  <c r="B217" i="3"/>
  <c r="B218" i="3"/>
  <c r="B219" i="3"/>
  <c r="B220" i="3"/>
  <c r="B221" i="3"/>
  <c r="B222" i="3"/>
  <c r="B223" i="3"/>
  <c r="B224" i="3"/>
  <c r="B225" i="3"/>
  <c r="B226" i="3"/>
  <c r="B227" i="3"/>
  <c r="B228" i="3"/>
  <c r="B229" i="3"/>
  <c r="B230" i="3"/>
  <c r="B231" i="3"/>
  <c r="B232" i="3"/>
  <c r="B233" i="3"/>
  <c r="B234" i="3"/>
  <c r="B235" i="3"/>
  <c r="B236" i="3"/>
  <c r="B237" i="3"/>
  <c r="B238" i="3"/>
  <c r="B239" i="3"/>
  <c r="B240" i="3"/>
  <c r="B241" i="3"/>
  <c r="B242" i="3"/>
  <c r="B243" i="3"/>
  <c r="B244" i="3"/>
  <c r="B245" i="3"/>
  <c r="B246" i="3"/>
  <c r="B247" i="3"/>
  <c r="B248" i="3"/>
  <c r="B249" i="3"/>
  <c r="B250" i="3"/>
  <c r="B251" i="3"/>
  <c r="B252" i="3"/>
  <c r="B253" i="3"/>
  <c r="B254" i="3"/>
  <c r="B255" i="3"/>
  <c r="B256" i="3"/>
  <c r="B257" i="3"/>
  <c r="B258" i="3"/>
  <c r="B259" i="3"/>
  <c r="B260" i="3"/>
  <c r="B261" i="3"/>
  <c r="B262" i="3"/>
  <c r="B263" i="3"/>
  <c r="B264" i="3"/>
  <c r="B265" i="3"/>
  <c r="B266" i="3"/>
  <c r="B267" i="3"/>
  <c r="B268" i="3"/>
  <c r="B269" i="3"/>
  <c r="B270" i="3"/>
  <c r="B271" i="3"/>
  <c r="B272" i="3"/>
  <c r="B273" i="3"/>
  <c r="B274" i="3"/>
  <c r="B275" i="3"/>
  <c r="B276" i="3"/>
  <c r="B277" i="3"/>
  <c r="B278" i="3"/>
  <c r="B279" i="3"/>
  <c r="B280" i="3"/>
  <c r="B281" i="3"/>
  <c r="B282" i="3"/>
  <c r="B283" i="3"/>
  <c r="B284" i="3"/>
  <c r="B285" i="3"/>
  <c r="B286" i="3"/>
  <c r="C51" i="3"/>
  <c r="C53" i="3"/>
  <c r="C55" i="3"/>
  <c r="C56" i="3"/>
  <c r="C57" i="3"/>
  <c r="C58" i="3"/>
  <c r="C59" i="3"/>
  <c r="C60" i="3"/>
  <c r="C61" i="3"/>
  <c r="C62" i="3"/>
  <c r="C63" i="3"/>
  <c r="C64" i="3"/>
  <c r="C65" i="3"/>
  <c r="C66" i="3"/>
  <c r="C67" i="3"/>
  <c r="C68" i="3"/>
  <c r="C69" i="3"/>
  <c r="C70" i="3"/>
  <c r="C71" i="3"/>
  <c r="C72" i="3"/>
  <c r="C73" i="3"/>
  <c r="C74" i="3"/>
  <c r="C75" i="3"/>
  <c r="C76" i="3"/>
  <c r="C77" i="3"/>
  <c r="C78" i="3"/>
  <c r="C79" i="3"/>
  <c r="C80" i="3"/>
  <c r="C81" i="3"/>
  <c r="C82" i="3"/>
  <c r="C83" i="3"/>
  <c r="C84" i="3"/>
  <c r="C85" i="3"/>
  <c r="C86" i="3"/>
  <c r="C87" i="3"/>
  <c r="C88" i="3"/>
  <c r="C89" i="3"/>
  <c r="C90" i="3"/>
  <c r="C91" i="3"/>
  <c r="C92" i="3"/>
  <c r="C93" i="3"/>
  <c r="C94" i="3"/>
  <c r="C95" i="3"/>
  <c r="C96" i="3"/>
  <c r="C97" i="3"/>
  <c r="C98" i="3"/>
  <c r="C99" i="3"/>
  <c r="C100" i="3"/>
  <c r="C101" i="3"/>
  <c r="C102" i="3"/>
  <c r="C103" i="3"/>
  <c r="C104" i="3"/>
  <c r="C105" i="3"/>
  <c r="C106" i="3"/>
  <c r="C107" i="3"/>
  <c r="C108" i="3"/>
  <c r="C109" i="3"/>
  <c r="C110" i="3"/>
  <c r="C111" i="3"/>
  <c r="C112" i="3"/>
  <c r="C113" i="3"/>
  <c r="C114" i="3"/>
  <c r="C115" i="3"/>
  <c r="C116" i="3"/>
  <c r="C117" i="3"/>
  <c r="C118" i="3"/>
  <c r="C119" i="3"/>
  <c r="C120" i="3"/>
  <c r="C121" i="3"/>
  <c r="C122" i="3"/>
  <c r="C123" i="3"/>
  <c r="C124" i="3"/>
  <c r="C125" i="3"/>
  <c r="C126" i="3"/>
  <c r="C127" i="3"/>
  <c r="C128" i="3"/>
  <c r="C129" i="3"/>
  <c r="C130" i="3"/>
  <c r="C131" i="3"/>
  <c r="C132" i="3"/>
  <c r="C133" i="3"/>
  <c r="C134" i="3"/>
  <c r="C135" i="3"/>
  <c r="C136" i="3"/>
  <c r="C137" i="3"/>
  <c r="C138" i="3"/>
  <c r="C139" i="3"/>
  <c r="C140" i="3"/>
  <c r="C141" i="3"/>
  <c r="C142" i="3"/>
  <c r="C143" i="3"/>
  <c r="C144" i="3"/>
  <c r="C145" i="3"/>
  <c r="C146" i="3"/>
  <c r="C147" i="3"/>
  <c r="C148" i="3"/>
  <c r="C149" i="3"/>
  <c r="C150" i="3"/>
  <c r="C151" i="3"/>
  <c r="C152" i="3"/>
  <c r="C153" i="3"/>
  <c r="C154" i="3"/>
  <c r="C155" i="3"/>
  <c r="C156" i="3"/>
  <c r="C157" i="3"/>
  <c r="C158" i="3"/>
  <c r="C159" i="3"/>
  <c r="C160" i="3"/>
  <c r="C161" i="3"/>
  <c r="C162" i="3"/>
  <c r="C163" i="3"/>
  <c r="C164" i="3"/>
  <c r="C165" i="3"/>
  <c r="C166" i="3"/>
  <c r="C167" i="3"/>
  <c r="C168" i="3"/>
  <c r="C169" i="3"/>
  <c r="C170" i="3"/>
  <c r="C171" i="3"/>
  <c r="C172" i="3"/>
  <c r="C173" i="3"/>
  <c r="C174" i="3"/>
  <c r="C175" i="3"/>
  <c r="C176" i="3"/>
  <c r="C177" i="3"/>
  <c r="C178" i="3"/>
  <c r="C179" i="3"/>
  <c r="C180" i="3"/>
  <c r="C181" i="3"/>
  <c r="C182" i="3"/>
  <c r="C183" i="3"/>
  <c r="C184" i="3"/>
  <c r="C185" i="3"/>
  <c r="C186" i="3"/>
  <c r="C187" i="3"/>
  <c r="C188" i="3"/>
  <c r="C189" i="3"/>
  <c r="C190" i="3"/>
  <c r="C191" i="3"/>
  <c r="C192" i="3"/>
  <c r="C193" i="3"/>
  <c r="C194" i="3"/>
  <c r="C195" i="3"/>
  <c r="C196" i="3"/>
  <c r="C197" i="3"/>
  <c r="C198" i="3"/>
  <c r="C199" i="3"/>
  <c r="C200" i="3"/>
  <c r="C201" i="3"/>
  <c r="C202" i="3"/>
  <c r="C203" i="3"/>
  <c r="C204" i="3"/>
  <c r="C205" i="3"/>
  <c r="C206" i="3"/>
  <c r="C207" i="3"/>
  <c r="C208" i="3"/>
  <c r="C209" i="3"/>
  <c r="C210" i="3"/>
  <c r="C211" i="3"/>
  <c r="C212" i="3"/>
  <c r="C213" i="3"/>
  <c r="C214" i="3"/>
  <c r="C215" i="3"/>
  <c r="C216" i="3"/>
  <c r="C217" i="3"/>
  <c r="C218" i="3"/>
  <c r="C219" i="3"/>
  <c r="C220" i="3"/>
  <c r="C221" i="3"/>
  <c r="C222" i="3"/>
  <c r="C223" i="3"/>
  <c r="C224" i="3"/>
  <c r="C225" i="3"/>
  <c r="C226" i="3"/>
  <c r="C227" i="3"/>
  <c r="C228" i="3"/>
  <c r="C229" i="3"/>
  <c r="C230" i="3"/>
  <c r="C231" i="3"/>
  <c r="C232" i="3"/>
  <c r="C233" i="3"/>
  <c r="C234" i="3"/>
  <c r="C235" i="3"/>
  <c r="C236" i="3"/>
  <c r="C237" i="3"/>
  <c r="C238" i="3"/>
  <c r="C239" i="3"/>
  <c r="C240" i="3"/>
  <c r="C241" i="3"/>
  <c r="C242" i="3"/>
  <c r="C243" i="3"/>
  <c r="C244" i="3"/>
  <c r="C245" i="3"/>
  <c r="C246" i="3"/>
  <c r="C247" i="3"/>
  <c r="C248" i="3"/>
  <c r="C249" i="3"/>
  <c r="C250" i="3"/>
  <c r="C251" i="3"/>
  <c r="C252" i="3"/>
  <c r="C253" i="3"/>
  <c r="C254" i="3"/>
  <c r="C255" i="3"/>
  <c r="C256" i="3"/>
  <c r="C257" i="3"/>
  <c r="C258" i="3"/>
  <c r="C259" i="3"/>
  <c r="C260" i="3"/>
  <c r="C261" i="3"/>
  <c r="C262" i="3"/>
  <c r="C263" i="3"/>
  <c r="C264" i="3"/>
  <c r="C265" i="3"/>
  <c r="C266" i="3"/>
  <c r="C267" i="3"/>
  <c r="C268" i="3"/>
  <c r="C269" i="3"/>
  <c r="C270" i="3"/>
  <c r="C271" i="3"/>
  <c r="C272" i="3"/>
  <c r="C273" i="3"/>
  <c r="C274" i="3"/>
  <c r="C275" i="3"/>
  <c r="C276" i="3"/>
  <c r="C277" i="3"/>
  <c r="C278" i="3"/>
  <c r="C279" i="3"/>
  <c r="C280" i="3"/>
  <c r="C281" i="3"/>
  <c r="C282" i="3"/>
  <c r="C283" i="3"/>
  <c r="C284" i="3"/>
  <c r="C285" i="3"/>
  <c r="C286" i="3"/>
  <c r="C18" i="3"/>
  <c r="C19" i="3"/>
  <c r="C20" i="3"/>
  <c r="C21" i="3"/>
  <c r="C22" i="3"/>
  <c r="C23" i="3"/>
  <c r="C24" i="3"/>
  <c r="C25" i="3"/>
  <c r="C26" i="3"/>
  <c r="C27" i="3"/>
  <c r="C28" i="3"/>
  <c r="C29" i="3"/>
  <c r="C30" i="3"/>
  <c r="C31" i="3"/>
  <c r="C32" i="3"/>
  <c r="C33" i="3"/>
  <c r="C34" i="3"/>
  <c r="C35" i="3"/>
  <c r="C36" i="3"/>
  <c r="C37" i="3"/>
  <c r="C38" i="3"/>
  <c r="C39" i="3"/>
  <c r="C40" i="3"/>
  <c r="C41" i="3"/>
  <c r="C42" i="3"/>
  <c r="C43" i="3"/>
  <c r="C44" i="3"/>
  <c r="C45" i="3"/>
  <c r="C52" i="3"/>
  <c r="C46" i="3"/>
  <c r="C47" i="3"/>
  <c r="C48" i="3"/>
  <c r="C49" i="3"/>
  <c r="C50" i="3"/>
  <c r="C17" i="3"/>
  <c r="C3" i="5" a="1"/>
  <c r="C3" i="5" s="1"/>
  <c r="C11" i="3" l="1"/>
  <c r="C12" i="3"/>
  <c r="C13" i="3"/>
  <c r="C14" i="3"/>
  <c r="C15" i="3"/>
  <c r="C16" i="3"/>
  <c r="B11" i="3"/>
  <c r="G2" i="1" s="1"/>
  <c r="B12" i="3"/>
  <c r="B13" i="3"/>
  <c r="B14" i="3"/>
  <c r="B15" i="3"/>
  <c r="B16" i="3"/>
  <c r="B17" i="3"/>
  <c r="B18" i="3"/>
  <c r="B19" i="3"/>
  <c r="B20" i="3"/>
  <c r="B21" i="3"/>
  <c r="B22" i="3"/>
  <c r="B23" i="3"/>
  <c r="B24" i="3"/>
  <c r="B25" i="3"/>
  <c r="B26" i="3"/>
  <c r="B27" i="3"/>
  <c r="B28" i="3"/>
  <c r="B29" i="3"/>
  <c r="B30" i="3"/>
  <c r="B31" i="3"/>
  <c r="B32" i="3"/>
  <c r="B33" i="3"/>
  <c r="B34" i="3"/>
  <c r="B35" i="3"/>
  <c r="B36" i="3"/>
  <c r="B37" i="3"/>
  <c r="B38" i="3"/>
  <c r="B39" i="3"/>
  <c r="B40" i="3"/>
  <c r="B41" i="3"/>
  <c r="B42" i="3"/>
  <c r="B43" i="3"/>
  <c r="B44" i="3"/>
  <c r="B45" i="3"/>
  <c r="B52" i="3"/>
  <c r="B46" i="3"/>
  <c r="B47" i="3"/>
  <c r="B48" i="3"/>
  <c r="B49" i="3"/>
  <c r="B50" i="3"/>
  <c r="L31" i="1"/>
  <c r="D11" i="3"/>
  <c r="K31" i="1"/>
  <c r="I31" i="1"/>
  <c r="H31" i="1"/>
  <c r="G31" i="1"/>
  <c r="F31" i="1"/>
  <c r="K11" i="1" l="1" a="1"/>
  <c r="K11" i="1" s="1"/>
  <c r="H8" i="1" a="1"/>
  <c r="H8" i="1" s="1"/>
  <c r="G12" i="1" a="1"/>
  <c r="G12" i="1" s="1"/>
  <c r="K13" i="1" a="1"/>
  <c r="K13" i="1" s="1"/>
  <c r="J15" i="1" a="1"/>
  <c r="J15" i="1" s="1"/>
  <c r="I12" i="1" a="1"/>
  <c r="I12" i="1" s="1"/>
  <c r="H14" i="1" a="1"/>
  <c r="H14" i="1" s="1"/>
  <c r="G11" i="1" a="1"/>
  <c r="G11" i="1" s="1"/>
  <c r="J13" i="1" a="1"/>
  <c r="J13" i="1" s="1"/>
  <c r="I15" i="1" a="1"/>
  <c r="I15" i="1" s="1"/>
  <c r="H12" i="1" a="1"/>
  <c r="H12" i="1" s="1"/>
  <c r="G14" i="1" a="1"/>
  <c r="G14" i="1" s="1"/>
  <c r="K15" i="1" a="1"/>
  <c r="K15" i="1" s="1"/>
  <c r="J12" i="1" a="1"/>
  <c r="J12" i="1" s="1"/>
  <c r="I14" i="1" a="1"/>
  <c r="I14" i="1" s="1"/>
  <c r="H11" i="1" a="1"/>
  <c r="H11" i="1" s="1"/>
  <c r="G13" i="1" a="1"/>
  <c r="G13" i="1" s="1"/>
  <c r="K14" i="1" a="1"/>
  <c r="K14" i="1" s="1"/>
  <c r="J11" i="1" a="1"/>
  <c r="J11" i="1" s="1"/>
  <c r="I13" i="1" a="1"/>
  <c r="I13" i="1" s="1"/>
  <c r="H15" i="1" a="1"/>
  <c r="H15" i="1" s="1"/>
  <c r="K12" i="1" a="1"/>
  <c r="K12" i="1" s="1"/>
  <c r="J14" i="1" a="1"/>
  <c r="J14" i="1" s="1"/>
  <c r="I11" i="1" a="1"/>
  <c r="I11" i="1" s="1"/>
  <c r="H13" i="1" a="1"/>
  <c r="H13" i="1" s="1"/>
  <c r="G15" i="1" a="1"/>
  <c r="G15" i="1" s="1"/>
  <c r="J8" i="1" a="1"/>
  <c r="J8" i="1" s="1"/>
  <c r="I8" i="1" a="1"/>
  <c r="I8" i="1" s="1"/>
  <c r="A22" i="3"/>
  <c r="A23" i="3"/>
  <c r="A24" i="3"/>
  <c r="A25" i="3"/>
  <c r="A26" i="3"/>
  <c r="A27" i="3"/>
  <c r="A28" i="3"/>
  <c r="A29" i="3"/>
  <c r="A30" i="3"/>
  <c r="A31" i="3"/>
  <c r="A32" i="3"/>
  <c r="A33" i="3"/>
  <c r="A34" i="3"/>
  <c r="A35" i="3"/>
  <c r="A36" i="3"/>
  <c r="A37" i="3"/>
  <c r="A38" i="3"/>
  <c r="A39" i="3"/>
  <c r="A40" i="3"/>
  <c r="A41" i="3"/>
  <c r="A42" i="3"/>
  <c r="A43" i="3"/>
  <c r="A44" i="3"/>
  <c r="A45" i="3"/>
  <c r="A52" i="3"/>
  <c r="A46" i="3"/>
  <c r="A47" i="3"/>
  <c r="A48" i="3"/>
  <c r="A49" i="3"/>
  <c r="A50" i="3"/>
  <c r="G1" i="1"/>
  <c r="D12" i="3"/>
  <c r="D13" i="3"/>
  <c r="D14" i="3"/>
  <c r="D15" i="3"/>
  <c r="D16" i="3"/>
  <c r="D17" i="3"/>
  <c r="D18" i="3"/>
  <c r="D19" i="3"/>
  <c r="D20" i="3"/>
  <c r="D21" i="3"/>
  <c r="D22" i="3"/>
  <c r="D23" i="3"/>
  <c r="D24" i="3"/>
  <c r="D25" i="3"/>
  <c r="D26" i="3"/>
  <c r="D27" i="3"/>
  <c r="D28" i="3"/>
  <c r="D29" i="3"/>
  <c r="D30" i="3"/>
  <c r="D31" i="3"/>
  <c r="D32" i="3"/>
  <c r="D33" i="3"/>
  <c r="D34" i="3"/>
  <c r="D35" i="3"/>
  <c r="D36" i="3"/>
  <c r="D37" i="3"/>
  <c r="D38" i="3"/>
  <c r="D39" i="3"/>
  <c r="D40" i="3"/>
  <c r="D41" i="3"/>
  <c r="D42" i="3"/>
  <c r="D43" i="3"/>
  <c r="D44" i="3"/>
  <c r="D45" i="3"/>
  <c r="D52" i="3"/>
  <c r="D46" i="3"/>
  <c r="D47" i="3"/>
  <c r="D48" i="3"/>
  <c r="D49" i="3"/>
  <c r="D50" i="3"/>
  <c r="D51" i="3"/>
  <c r="D53" i="3"/>
  <c r="D55" i="3"/>
  <c r="D56" i="3"/>
  <c r="D57" i="3"/>
  <c r="D58" i="3"/>
  <c r="D59" i="3"/>
  <c r="D60" i="3"/>
  <c r="D61" i="3"/>
  <c r="D62" i="3"/>
  <c r="D63" i="3"/>
  <c r="D64" i="3"/>
  <c r="D65" i="3"/>
  <c r="D66" i="3"/>
  <c r="D67" i="3"/>
  <c r="D68" i="3"/>
  <c r="D69" i="3"/>
  <c r="D70" i="3"/>
  <c r="D71" i="3"/>
  <c r="D72" i="3"/>
  <c r="D73" i="3"/>
  <c r="D74" i="3"/>
  <c r="D75" i="3"/>
  <c r="D76" i="3"/>
  <c r="D77" i="3"/>
  <c r="D78" i="3"/>
  <c r="D79" i="3"/>
  <c r="D80" i="3"/>
  <c r="D81" i="3"/>
  <c r="D82" i="3"/>
  <c r="D83" i="3"/>
  <c r="D84" i="3"/>
  <c r="D85" i="3"/>
  <c r="D86" i="3"/>
  <c r="D87" i="3"/>
  <c r="D88" i="3"/>
  <c r="D89" i="3"/>
  <c r="D90" i="3"/>
  <c r="D91" i="3"/>
  <c r="D92" i="3"/>
  <c r="D93" i="3"/>
  <c r="D94" i="3"/>
  <c r="D95" i="3"/>
  <c r="D96" i="3"/>
  <c r="D97" i="3"/>
  <c r="D98" i="3"/>
  <c r="D99" i="3"/>
  <c r="D100" i="3"/>
  <c r="D101" i="3"/>
  <c r="D102" i="3"/>
  <c r="D103" i="3"/>
  <c r="D104" i="3"/>
  <c r="D105" i="3"/>
  <c r="D106" i="3"/>
  <c r="D107" i="3"/>
  <c r="D108" i="3"/>
  <c r="D109" i="3"/>
  <c r="D110" i="3"/>
  <c r="D111" i="3"/>
  <c r="D112" i="3"/>
  <c r="D113" i="3"/>
  <c r="D114" i="3"/>
  <c r="D115" i="3"/>
  <c r="D116" i="3"/>
  <c r="D117" i="3"/>
  <c r="D118" i="3"/>
  <c r="D119" i="3"/>
  <c r="D120" i="3"/>
  <c r="D121" i="3"/>
  <c r="D122" i="3"/>
  <c r="D123" i="3"/>
  <c r="D124" i="3"/>
  <c r="D125" i="3"/>
  <c r="D126" i="3"/>
  <c r="D127" i="3"/>
  <c r="D128" i="3"/>
  <c r="D129" i="3"/>
  <c r="D130" i="3"/>
  <c r="D131" i="3"/>
  <c r="D132" i="3"/>
  <c r="D133" i="3"/>
  <c r="D134" i="3"/>
  <c r="D135" i="3"/>
  <c r="D136" i="3"/>
  <c r="D137" i="3"/>
  <c r="D138" i="3"/>
  <c r="D139" i="3"/>
  <c r="D140" i="3"/>
  <c r="D141" i="3"/>
  <c r="D142" i="3"/>
  <c r="D143" i="3"/>
  <c r="D144" i="3"/>
  <c r="D145" i="3"/>
  <c r="D146" i="3"/>
  <c r="D147" i="3"/>
  <c r="D148" i="3"/>
  <c r="D149" i="3"/>
  <c r="D150" i="3"/>
  <c r="D151" i="3"/>
  <c r="D152" i="3"/>
  <c r="D153" i="3"/>
  <c r="D154" i="3"/>
  <c r="D155" i="3"/>
  <c r="D156" i="3"/>
  <c r="D157" i="3"/>
  <c r="D158" i="3"/>
  <c r="D159" i="3"/>
  <c r="D160" i="3"/>
  <c r="D161" i="3"/>
  <c r="D162" i="3"/>
  <c r="D163" i="3"/>
  <c r="D164" i="3"/>
  <c r="D165" i="3"/>
  <c r="D166" i="3"/>
  <c r="D167" i="3"/>
  <c r="D168" i="3"/>
  <c r="D169" i="3"/>
  <c r="D170" i="3"/>
  <c r="D171" i="3"/>
  <c r="D172" i="3"/>
  <c r="D173" i="3"/>
  <c r="D174" i="3"/>
  <c r="D175" i="3"/>
  <c r="D176" i="3"/>
  <c r="D177" i="3"/>
  <c r="D178" i="3"/>
  <c r="D179" i="3"/>
  <c r="D180" i="3"/>
  <c r="D181" i="3"/>
  <c r="D182" i="3"/>
  <c r="D183" i="3"/>
  <c r="D184" i="3"/>
  <c r="D185" i="3"/>
  <c r="D186" i="3"/>
  <c r="D187" i="3"/>
  <c r="D188" i="3"/>
  <c r="D189" i="3"/>
  <c r="D190" i="3"/>
  <c r="D191" i="3"/>
  <c r="D192" i="3"/>
  <c r="D193" i="3"/>
  <c r="D194" i="3"/>
  <c r="D195" i="3"/>
  <c r="D196" i="3"/>
  <c r="D197" i="3"/>
  <c r="D198" i="3"/>
  <c r="D199" i="3"/>
  <c r="D200" i="3"/>
  <c r="D201" i="3"/>
  <c r="D202" i="3"/>
  <c r="D203" i="3"/>
  <c r="D204" i="3"/>
  <c r="D205" i="3"/>
  <c r="D206" i="3"/>
  <c r="D207" i="3"/>
  <c r="D208" i="3"/>
  <c r="D209" i="3"/>
  <c r="D210" i="3"/>
  <c r="D211" i="3"/>
  <c r="D212" i="3"/>
  <c r="D213" i="3"/>
  <c r="D214" i="3"/>
  <c r="D215" i="3"/>
  <c r="D216" i="3"/>
  <c r="D217" i="3"/>
  <c r="D218" i="3"/>
  <c r="D219" i="3"/>
  <c r="D220" i="3"/>
  <c r="D221" i="3"/>
  <c r="D222" i="3"/>
  <c r="D223" i="3"/>
  <c r="D224" i="3"/>
  <c r="D225" i="3"/>
  <c r="D226" i="3"/>
  <c r="D227" i="3"/>
  <c r="D228" i="3"/>
  <c r="D229" i="3"/>
  <c r="D230" i="3"/>
  <c r="D231" i="3"/>
  <c r="D232" i="3"/>
  <c r="D233" i="3"/>
  <c r="D234" i="3"/>
  <c r="D235" i="3"/>
  <c r="D236" i="3"/>
  <c r="D237" i="3"/>
  <c r="D238" i="3"/>
  <c r="D239" i="3"/>
  <c r="D240" i="3"/>
  <c r="D241" i="3"/>
  <c r="D242" i="3"/>
  <c r="D243" i="3"/>
  <c r="D244" i="3"/>
  <c r="D245" i="3"/>
  <c r="D246" i="3"/>
  <c r="D247" i="3"/>
  <c r="D248" i="3"/>
  <c r="D249" i="3"/>
  <c r="D250" i="3"/>
  <c r="D251" i="3"/>
  <c r="D252" i="3"/>
  <c r="D253" i="3"/>
  <c r="D254" i="3"/>
  <c r="D255" i="3"/>
  <c r="D256" i="3"/>
  <c r="D257" i="3"/>
  <c r="D258" i="3"/>
  <c r="D259" i="3"/>
  <c r="D260" i="3"/>
  <c r="D261" i="3"/>
  <c r="D262" i="3"/>
  <c r="D263" i="3"/>
  <c r="D264" i="3"/>
  <c r="D265" i="3"/>
  <c r="D266" i="3"/>
  <c r="D267" i="3"/>
  <c r="D268" i="3"/>
  <c r="D269" i="3"/>
  <c r="D270" i="3"/>
  <c r="D271" i="3"/>
  <c r="D272" i="3"/>
  <c r="D273" i="3"/>
  <c r="D274" i="3"/>
  <c r="D275" i="3"/>
  <c r="D276" i="3"/>
  <c r="D277" i="3"/>
  <c r="D278" i="3"/>
  <c r="D279" i="3"/>
  <c r="D280" i="3"/>
  <c r="D281" i="3"/>
  <c r="D282" i="3"/>
  <c r="D283" i="3"/>
  <c r="D284" i="3"/>
  <c r="D285" i="3"/>
  <c r="D286" i="3"/>
  <c r="D287" i="3"/>
  <c r="D288" i="3"/>
  <c r="D289" i="3"/>
  <c r="D290" i="3"/>
  <c r="D291" i="3"/>
  <c r="D292" i="3"/>
  <c r="D293" i="3"/>
  <c r="D294" i="3"/>
  <c r="D295" i="3"/>
  <c r="D296" i="3"/>
  <c r="D297" i="3"/>
  <c r="D298" i="3"/>
  <c r="D299" i="3"/>
  <c r="D300" i="3"/>
  <c r="D301" i="3"/>
  <c r="D302" i="3"/>
  <c r="D303" i="3"/>
  <c r="D304" i="3"/>
  <c r="D305" i="3"/>
  <c r="D306" i="3"/>
  <c r="D307" i="3"/>
  <c r="D308" i="3"/>
  <c r="D309" i="3"/>
  <c r="D310" i="3"/>
  <c r="D311" i="3"/>
  <c r="D312" i="3"/>
  <c r="D313" i="3"/>
  <c r="D314" i="3"/>
  <c r="D315" i="3"/>
  <c r="D316" i="3"/>
  <c r="D317" i="3"/>
  <c r="D318" i="3"/>
  <c r="D319" i="3"/>
  <c r="D320" i="3"/>
  <c r="D321" i="3"/>
  <c r="D322" i="3"/>
  <c r="D323" i="3"/>
  <c r="D324" i="3"/>
  <c r="D325" i="3"/>
  <c r="D326" i="3"/>
  <c r="D327" i="3"/>
  <c r="D328" i="3"/>
  <c r="D329" i="3"/>
  <c r="D330" i="3"/>
  <c r="D331" i="3"/>
  <c r="D332" i="3"/>
  <c r="D333" i="3"/>
  <c r="D334" i="3"/>
  <c r="D335" i="3"/>
  <c r="D336" i="3"/>
  <c r="D337" i="3"/>
  <c r="D338" i="3"/>
  <c r="D339" i="3"/>
  <c r="D340" i="3"/>
  <c r="D341" i="3"/>
  <c r="D342" i="3"/>
  <c r="D343" i="3"/>
  <c r="D344" i="3"/>
  <c r="D345" i="3"/>
  <c r="D346" i="3"/>
  <c r="D347" i="3"/>
  <c r="D348" i="3"/>
  <c r="D349" i="3"/>
  <c r="D350" i="3"/>
  <c r="D351" i="3"/>
  <c r="D352" i="3"/>
  <c r="D353" i="3"/>
  <c r="D354" i="3"/>
  <c r="D355" i="3"/>
  <c r="D356" i="3"/>
  <c r="D357" i="3"/>
  <c r="D358" i="3"/>
  <c r="D359" i="3"/>
  <c r="D360" i="3"/>
  <c r="D361" i="3"/>
  <c r="D362" i="3"/>
  <c r="D363" i="3"/>
  <c r="D364" i="3"/>
  <c r="D365" i="3"/>
  <c r="D366" i="3"/>
  <c r="D367" i="3"/>
  <c r="D368" i="3"/>
  <c r="D369" i="3"/>
  <c r="D370" i="3"/>
  <c r="D371" i="3"/>
  <c r="D372" i="3"/>
  <c r="D373" i="3"/>
  <c r="D374" i="3"/>
  <c r="D375" i="3"/>
  <c r="D376" i="3"/>
  <c r="D377" i="3"/>
  <c r="D378" i="3"/>
  <c r="D379" i="3"/>
  <c r="D380" i="3"/>
  <c r="D381" i="3"/>
  <c r="D382" i="3"/>
  <c r="D383" i="3"/>
  <c r="D384" i="3"/>
  <c r="D385" i="3"/>
  <c r="D386" i="3"/>
  <c r="D387" i="3"/>
  <c r="D388" i="3"/>
  <c r="D389" i="3"/>
  <c r="D390" i="3"/>
  <c r="D391" i="3"/>
  <c r="D392" i="3"/>
  <c r="D393" i="3"/>
  <c r="D394" i="3"/>
  <c r="D395" i="3"/>
  <c r="D396" i="3"/>
  <c r="D397" i="3"/>
  <c r="D398" i="3"/>
  <c r="D399" i="3"/>
  <c r="D400" i="3"/>
  <c r="D401" i="3"/>
  <c r="D402" i="3"/>
  <c r="D403" i="3"/>
  <c r="D404" i="3"/>
  <c r="D405" i="3"/>
  <c r="D406" i="3"/>
  <c r="D407" i="3"/>
  <c r="D408" i="3"/>
  <c r="D409" i="3"/>
  <c r="D410" i="3"/>
  <c r="D411" i="3"/>
  <c r="D412" i="3"/>
  <c r="D413" i="3"/>
  <c r="D414" i="3"/>
  <c r="D415" i="3"/>
  <c r="D416" i="3"/>
  <c r="D417" i="3"/>
  <c r="D418" i="3"/>
  <c r="D419" i="3"/>
  <c r="D420" i="3"/>
  <c r="D421" i="3"/>
  <c r="D422" i="3"/>
  <c r="D423" i="3"/>
  <c r="D424" i="3"/>
  <c r="D425" i="3"/>
  <c r="D426" i="3"/>
  <c r="D427" i="3"/>
  <c r="D428" i="3"/>
  <c r="D429" i="3"/>
  <c r="D430" i="3"/>
  <c r="D431" i="3"/>
  <c r="D432" i="3"/>
  <c r="D433" i="3"/>
  <c r="D434" i="3"/>
  <c r="D435" i="3"/>
  <c r="D436" i="3"/>
  <c r="D437" i="3"/>
  <c r="D438" i="3"/>
  <c r="D439" i="3"/>
  <c r="D440" i="3"/>
  <c r="D441" i="3"/>
  <c r="D442" i="3"/>
  <c r="D443" i="3"/>
  <c r="D444" i="3"/>
  <c r="D445" i="3"/>
  <c r="D446" i="3"/>
  <c r="D447" i="3"/>
  <c r="D448" i="3"/>
  <c r="D449" i="3"/>
  <c r="D450" i="3"/>
  <c r="D451" i="3"/>
  <c r="D452" i="3"/>
  <c r="D453" i="3"/>
  <c r="D454" i="3"/>
  <c r="D455" i="3"/>
  <c r="D456" i="3"/>
  <c r="D457" i="3"/>
  <c r="D458" i="3"/>
  <c r="D459" i="3"/>
  <c r="D460" i="3"/>
  <c r="D461" i="3"/>
  <c r="D462" i="3"/>
  <c r="D463" i="3"/>
  <c r="D464" i="3"/>
  <c r="D465" i="3"/>
  <c r="D466" i="3"/>
  <c r="D467" i="3"/>
  <c r="D468" i="3"/>
  <c r="D469" i="3"/>
  <c r="D470" i="3"/>
  <c r="D471" i="3"/>
  <c r="D472" i="3"/>
  <c r="D473" i="3"/>
  <c r="D474" i="3"/>
  <c r="D475" i="3"/>
  <c r="D476" i="3"/>
  <c r="D477" i="3"/>
  <c r="D478" i="3"/>
  <c r="D479" i="3"/>
  <c r="D480" i="3"/>
  <c r="D481" i="3"/>
  <c r="D482" i="3"/>
  <c r="D483" i="3"/>
  <c r="D484" i="3"/>
  <c r="D485" i="3"/>
  <c r="D486" i="3"/>
  <c r="D487" i="3"/>
  <c r="D488" i="3"/>
  <c r="D489" i="3"/>
  <c r="D490" i="3"/>
  <c r="D491" i="3"/>
  <c r="D492" i="3"/>
  <c r="D493" i="3"/>
  <c r="D494" i="3"/>
  <c r="D495" i="3"/>
  <c r="D496" i="3"/>
  <c r="D497" i="3"/>
  <c r="D498" i="3"/>
  <c r="D499" i="3"/>
  <c r="D500" i="3"/>
  <c r="D501" i="3"/>
  <c r="D502" i="3"/>
  <c r="D503" i="3"/>
  <c r="D504" i="3"/>
  <c r="D505" i="3"/>
  <c r="D506" i="3"/>
  <c r="D507" i="3"/>
  <c r="D508" i="3"/>
  <c r="D509" i="3"/>
  <c r="D510" i="3"/>
  <c r="D511" i="3"/>
  <c r="D512" i="3"/>
  <c r="D513" i="3"/>
  <c r="D514" i="3"/>
  <c r="D515" i="3"/>
  <c r="D516" i="3"/>
  <c r="D517" i="3"/>
  <c r="D518" i="3"/>
  <c r="D519" i="3"/>
  <c r="D520" i="3"/>
  <c r="D521" i="3"/>
  <c r="D522" i="3"/>
  <c r="D523" i="3"/>
  <c r="D524" i="3"/>
  <c r="D525" i="3"/>
  <c r="D526" i="3"/>
  <c r="D527" i="3"/>
  <c r="D528" i="3"/>
  <c r="D529" i="3"/>
  <c r="D530" i="3"/>
  <c r="D531" i="3"/>
  <c r="D532" i="3"/>
  <c r="D533" i="3"/>
  <c r="D534" i="3"/>
  <c r="D535" i="3"/>
  <c r="D536" i="3"/>
  <c r="D537" i="3"/>
  <c r="D538" i="3"/>
  <c r="D539" i="3"/>
  <c r="D540" i="3"/>
  <c r="D541" i="3"/>
  <c r="D542" i="3"/>
  <c r="D543" i="3"/>
  <c r="D544" i="3"/>
  <c r="D545" i="3"/>
  <c r="D546" i="3"/>
  <c r="D547" i="3"/>
  <c r="D548" i="3"/>
  <c r="D549" i="3"/>
  <c r="D550" i="3"/>
  <c r="D551" i="3"/>
  <c r="D552" i="3"/>
  <c r="D553" i="3"/>
  <c r="D554" i="3"/>
  <c r="D555" i="3"/>
  <c r="D556" i="3"/>
  <c r="D557" i="3"/>
  <c r="D558" i="3"/>
  <c r="D559" i="3"/>
  <c r="D560" i="3"/>
  <c r="D561" i="3"/>
  <c r="D562" i="3"/>
  <c r="D563" i="3"/>
  <c r="D564" i="3"/>
  <c r="D565" i="3"/>
  <c r="D566" i="3"/>
  <c r="D567" i="3"/>
  <c r="D568" i="3"/>
  <c r="D569" i="3"/>
  <c r="D570" i="3"/>
  <c r="D571" i="3"/>
  <c r="D572" i="3"/>
  <c r="D573" i="3"/>
  <c r="D574" i="3"/>
  <c r="D575" i="3"/>
  <c r="D576" i="3"/>
  <c r="D577" i="3"/>
  <c r="D578" i="3"/>
  <c r="D579" i="3"/>
  <c r="D580" i="3"/>
  <c r="D581" i="3"/>
  <c r="D582" i="3"/>
  <c r="D583" i="3"/>
  <c r="D584" i="3"/>
  <c r="D585" i="3"/>
  <c r="D586" i="3"/>
  <c r="D587" i="3"/>
  <c r="D588" i="3"/>
  <c r="D589" i="3"/>
  <c r="D590" i="3"/>
  <c r="D591" i="3"/>
  <c r="D592" i="3"/>
  <c r="D593" i="3"/>
  <c r="D594" i="3"/>
  <c r="D595" i="3"/>
  <c r="D596" i="3"/>
  <c r="D597" i="3"/>
  <c r="D598" i="3"/>
  <c r="D599" i="3"/>
  <c r="D600" i="3"/>
  <c r="D601" i="3"/>
  <c r="D602" i="3"/>
  <c r="D603" i="3"/>
  <c r="D604" i="3"/>
  <c r="D605" i="3"/>
  <c r="D606" i="3"/>
  <c r="D607" i="3"/>
  <c r="D608" i="3"/>
  <c r="D609" i="3"/>
  <c r="D610" i="3"/>
  <c r="D611" i="3"/>
  <c r="D612" i="3"/>
  <c r="D613" i="3"/>
  <c r="D614" i="3"/>
  <c r="D615" i="3"/>
  <c r="D616" i="3"/>
  <c r="D617" i="3"/>
  <c r="D618" i="3"/>
  <c r="D619" i="3"/>
  <c r="D620" i="3"/>
  <c r="D621" i="3"/>
  <c r="D622" i="3"/>
  <c r="D623" i="3"/>
  <c r="D624" i="3"/>
  <c r="D625" i="3"/>
  <c r="D626" i="3"/>
  <c r="D627" i="3"/>
  <c r="D628" i="3"/>
  <c r="D629" i="3"/>
  <c r="D630" i="3"/>
  <c r="D631" i="3"/>
  <c r="D632" i="3"/>
  <c r="D633" i="3"/>
  <c r="D634" i="3"/>
  <c r="D635" i="3"/>
  <c r="D636" i="3"/>
  <c r="D637" i="3"/>
  <c r="D638" i="3"/>
  <c r="D639" i="3"/>
  <c r="D640" i="3"/>
  <c r="D641" i="3"/>
  <c r="D642" i="3"/>
  <c r="D643" i="3"/>
  <c r="D644" i="3"/>
  <c r="D645" i="3"/>
  <c r="D646" i="3"/>
  <c r="D647" i="3"/>
  <c r="D648" i="3"/>
  <c r="D649" i="3"/>
  <c r="D650" i="3"/>
  <c r="D651" i="3"/>
  <c r="D652" i="3"/>
  <c r="D653" i="3"/>
  <c r="D654" i="3"/>
  <c r="D655" i="3"/>
  <c r="D656" i="3"/>
  <c r="D657" i="3"/>
  <c r="D658" i="3"/>
  <c r="D659" i="3"/>
  <c r="D660" i="3"/>
  <c r="D661" i="3"/>
  <c r="D662" i="3"/>
  <c r="D663" i="3"/>
  <c r="D664" i="3"/>
  <c r="D665" i="3"/>
  <c r="D666" i="3"/>
  <c r="D667" i="3"/>
  <c r="D668" i="3"/>
  <c r="D669" i="3"/>
  <c r="D670" i="3"/>
  <c r="D671" i="3"/>
  <c r="D672" i="3"/>
  <c r="D673" i="3"/>
  <c r="D674" i="3"/>
  <c r="D675" i="3"/>
  <c r="D676" i="3"/>
  <c r="D677" i="3"/>
  <c r="D678" i="3"/>
  <c r="D679" i="3"/>
  <c r="D680" i="3"/>
  <c r="D681" i="3"/>
  <c r="D682" i="3"/>
  <c r="D683" i="3"/>
  <c r="D684" i="3"/>
  <c r="D685" i="3"/>
  <c r="D686" i="3"/>
  <c r="D687" i="3"/>
  <c r="D688" i="3"/>
  <c r="D689" i="3"/>
  <c r="D690" i="3"/>
  <c r="D691" i="3"/>
  <c r="D692" i="3"/>
  <c r="D693" i="3"/>
  <c r="D694" i="3"/>
  <c r="D695" i="3"/>
  <c r="D696" i="3"/>
  <c r="D697" i="3"/>
  <c r="D698" i="3"/>
  <c r="D699" i="3"/>
  <c r="D700" i="3"/>
  <c r="D701" i="3"/>
  <c r="D702" i="3"/>
  <c r="D703" i="3"/>
  <c r="D704" i="3"/>
  <c r="D705" i="3"/>
  <c r="D706" i="3"/>
  <c r="D707" i="3"/>
  <c r="D708" i="3"/>
  <c r="D709" i="3"/>
  <c r="D710" i="3"/>
  <c r="D711" i="3"/>
  <c r="D712" i="3"/>
  <c r="D713" i="3"/>
  <c r="D714" i="3"/>
  <c r="D715" i="3"/>
  <c r="D716" i="3"/>
  <c r="D717" i="3"/>
  <c r="D718" i="3"/>
  <c r="D719" i="3"/>
  <c r="D720" i="3"/>
  <c r="D721" i="3"/>
  <c r="D722" i="3"/>
  <c r="D723" i="3"/>
  <c r="D724" i="3"/>
  <c r="D725" i="3"/>
  <c r="D726" i="3"/>
  <c r="D727" i="3"/>
  <c r="D728" i="3"/>
  <c r="D729" i="3"/>
  <c r="D730" i="3"/>
  <c r="D731" i="3"/>
  <c r="D732" i="3"/>
  <c r="D733" i="3"/>
  <c r="D734" i="3"/>
  <c r="D735" i="3"/>
  <c r="D736" i="3"/>
  <c r="D737" i="3"/>
  <c r="D738" i="3"/>
  <c r="D739" i="3"/>
  <c r="D740" i="3"/>
  <c r="D741" i="3"/>
  <c r="D742" i="3"/>
  <c r="D743" i="3"/>
  <c r="D744" i="3"/>
  <c r="D745" i="3"/>
  <c r="D746" i="3"/>
  <c r="D747" i="3"/>
  <c r="D748" i="3"/>
  <c r="D749" i="3"/>
  <c r="D750" i="3"/>
  <c r="D751" i="3"/>
  <c r="D752" i="3"/>
  <c r="D753" i="3"/>
  <c r="D754" i="3"/>
  <c r="D755" i="3"/>
  <c r="D756" i="3"/>
  <c r="D757" i="3"/>
  <c r="D758" i="3"/>
  <c r="D759" i="3"/>
  <c r="D760" i="3"/>
  <c r="D761" i="3"/>
  <c r="D762" i="3"/>
  <c r="D763" i="3"/>
  <c r="D764" i="3"/>
  <c r="D765" i="3"/>
  <c r="D766" i="3"/>
  <c r="D767" i="3"/>
  <c r="D768" i="3"/>
  <c r="D769" i="3"/>
  <c r="D770" i="3"/>
  <c r="D771" i="3"/>
  <c r="D772" i="3"/>
  <c r="D773" i="3"/>
  <c r="D774" i="3"/>
  <c r="D775" i="3"/>
  <c r="D776" i="3"/>
  <c r="D777" i="3"/>
  <c r="D778" i="3"/>
  <c r="D779" i="3"/>
  <c r="D780" i="3"/>
  <c r="D781" i="3"/>
  <c r="D782" i="3"/>
  <c r="D783" i="3"/>
  <c r="D784" i="3"/>
  <c r="D785" i="3"/>
  <c r="D786" i="3"/>
  <c r="D787" i="3"/>
  <c r="D788" i="3"/>
  <c r="D789" i="3"/>
  <c r="D790" i="3"/>
  <c r="D791" i="3"/>
  <c r="D792" i="3"/>
  <c r="D793" i="3"/>
  <c r="D794" i="3"/>
  <c r="D795" i="3"/>
  <c r="D796" i="3"/>
  <c r="D797" i="3"/>
  <c r="D798" i="3"/>
  <c r="D799" i="3"/>
  <c r="D800" i="3"/>
  <c r="D801" i="3"/>
  <c r="D802" i="3"/>
  <c r="D803" i="3"/>
  <c r="D804" i="3"/>
  <c r="D805" i="3"/>
  <c r="D806" i="3"/>
  <c r="D807" i="3"/>
  <c r="D808" i="3"/>
  <c r="D809" i="3"/>
  <c r="D810" i="3"/>
  <c r="D811" i="3"/>
  <c r="D812" i="3"/>
  <c r="D813" i="3"/>
  <c r="D814" i="3"/>
  <c r="D815" i="3"/>
  <c r="D816" i="3"/>
  <c r="D817" i="3"/>
  <c r="D818" i="3"/>
  <c r="D819" i="3"/>
  <c r="D820" i="3"/>
  <c r="D821" i="3"/>
  <c r="D822" i="3"/>
  <c r="D823" i="3"/>
  <c r="D824" i="3"/>
  <c r="D825" i="3"/>
  <c r="D826" i="3"/>
  <c r="D827" i="3"/>
  <c r="D828" i="3"/>
  <c r="D829" i="3"/>
  <c r="D830" i="3"/>
  <c r="D831" i="3"/>
  <c r="D832" i="3"/>
  <c r="D833" i="3"/>
  <c r="D834" i="3"/>
  <c r="D835" i="3"/>
  <c r="D836" i="3"/>
  <c r="D837" i="3"/>
  <c r="D838" i="3"/>
  <c r="D839" i="3"/>
  <c r="D840" i="3"/>
  <c r="D841" i="3"/>
  <c r="D842" i="3"/>
  <c r="D843" i="3"/>
  <c r="D844" i="3"/>
  <c r="D845" i="3"/>
  <c r="D846" i="3"/>
  <c r="D847" i="3"/>
  <c r="D848" i="3"/>
  <c r="D849" i="3"/>
  <c r="D850" i="3"/>
  <c r="D851" i="3"/>
  <c r="D852" i="3"/>
  <c r="D853" i="3"/>
  <c r="D854" i="3"/>
  <c r="D855" i="3"/>
  <c r="D856" i="3"/>
  <c r="D857" i="3"/>
  <c r="D858" i="3"/>
  <c r="D859" i="3"/>
  <c r="D860" i="3"/>
  <c r="D861" i="3"/>
  <c r="D862" i="3"/>
  <c r="D863" i="3"/>
  <c r="D864" i="3"/>
  <c r="D865" i="3"/>
  <c r="D866" i="3"/>
  <c r="D867" i="3"/>
  <c r="D868" i="3"/>
  <c r="D869" i="3"/>
  <c r="D870" i="3"/>
  <c r="D871" i="3"/>
  <c r="D872" i="3"/>
  <c r="D873" i="3"/>
  <c r="D874" i="3"/>
  <c r="D875" i="3"/>
  <c r="D876" i="3"/>
  <c r="D877" i="3"/>
  <c r="D878" i="3"/>
  <c r="D879" i="3"/>
  <c r="D880" i="3"/>
  <c r="D881" i="3"/>
  <c r="D882" i="3"/>
  <c r="D883" i="3"/>
  <c r="D884" i="3"/>
  <c r="D885" i="3"/>
  <c r="D886" i="3"/>
  <c r="D887" i="3"/>
  <c r="D888" i="3"/>
  <c r="D889" i="3"/>
  <c r="D890" i="3"/>
  <c r="D891" i="3"/>
  <c r="D892" i="3"/>
  <c r="D893" i="3"/>
  <c r="D894" i="3"/>
  <c r="D895" i="3"/>
  <c r="D896" i="3"/>
  <c r="D897" i="3"/>
  <c r="D898" i="3"/>
  <c r="D899" i="3"/>
  <c r="D900" i="3"/>
  <c r="D901" i="3"/>
  <c r="D902" i="3"/>
  <c r="D903" i="3"/>
  <c r="D904" i="3"/>
  <c r="D905" i="3"/>
  <c r="D906" i="3"/>
  <c r="D907" i="3"/>
  <c r="D908" i="3"/>
  <c r="D909" i="3"/>
  <c r="D910" i="3"/>
  <c r="D911" i="3"/>
  <c r="D912" i="3"/>
  <c r="D913" i="3"/>
  <c r="D914" i="3"/>
  <c r="D915" i="3"/>
  <c r="D916" i="3"/>
  <c r="D917" i="3"/>
  <c r="D918" i="3"/>
  <c r="D919" i="3"/>
  <c r="D920" i="3"/>
  <c r="D921" i="3"/>
  <c r="D922" i="3"/>
  <c r="D923" i="3"/>
  <c r="D924" i="3"/>
  <c r="D925" i="3"/>
  <c r="D926" i="3"/>
  <c r="D927" i="3"/>
  <c r="D928" i="3"/>
  <c r="D929" i="3"/>
  <c r="D930" i="3"/>
  <c r="D931" i="3"/>
  <c r="D932" i="3"/>
  <c r="D933" i="3"/>
  <c r="D934" i="3"/>
  <c r="D935" i="3"/>
  <c r="D936" i="3"/>
  <c r="D937" i="3"/>
  <c r="D938" i="3"/>
  <c r="D939" i="3"/>
  <c r="D940" i="3"/>
  <c r="D941" i="3"/>
  <c r="D942" i="3"/>
  <c r="D943" i="3"/>
  <c r="D944" i="3"/>
  <c r="D945" i="3"/>
  <c r="D946" i="3"/>
  <c r="D947" i="3"/>
  <c r="D948" i="3"/>
  <c r="D949" i="3"/>
  <c r="D950" i="3"/>
  <c r="D951" i="3"/>
  <c r="D952" i="3"/>
  <c r="D953" i="3"/>
  <c r="D954" i="3"/>
  <c r="D955" i="3"/>
  <c r="D956" i="3"/>
  <c r="D957" i="3"/>
  <c r="D958" i="3"/>
  <c r="D959" i="3"/>
  <c r="D960" i="3"/>
  <c r="D961" i="3"/>
  <c r="D962" i="3"/>
  <c r="D963" i="3"/>
  <c r="D964" i="3"/>
  <c r="D965" i="3"/>
  <c r="D966" i="3"/>
  <c r="D967" i="3"/>
  <c r="D968" i="3"/>
  <c r="D969" i="3"/>
  <c r="D970" i="3"/>
  <c r="D971" i="3"/>
  <c r="D972" i="3"/>
  <c r="D973" i="3"/>
  <c r="D974" i="3"/>
  <c r="D975" i="3"/>
  <c r="D976" i="3"/>
  <c r="D977" i="3"/>
  <c r="D978" i="3"/>
  <c r="D979" i="3"/>
  <c r="D980" i="3"/>
  <c r="D981" i="3"/>
  <c r="D982" i="3"/>
  <c r="D983" i="3"/>
  <c r="D984" i="3"/>
  <c r="D985" i="3"/>
  <c r="D986" i="3"/>
  <c r="D987" i="3"/>
  <c r="D988" i="3"/>
  <c r="D989" i="3"/>
  <c r="D990" i="3"/>
  <c r="D991" i="3"/>
  <c r="D992" i="3"/>
  <c r="D993" i="3"/>
  <c r="D994" i="3"/>
  <c r="D995" i="3"/>
  <c r="D996" i="3"/>
  <c r="D997" i="3"/>
  <c r="D998" i="3"/>
  <c r="D999" i="3"/>
  <c r="D1000" i="3"/>
  <c r="D1001" i="3"/>
  <c r="D1002" i="3"/>
  <c r="D1003" i="3"/>
  <c r="D1004" i="3"/>
  <c r="D1005" i="3"/>
  <c r="D1006" i="3"/>
  <c r="D1007" i="3"/>
  <c r="D1008" i="3"/>
  <c r="D1009" i="3"/>
  <c r="D1010" i="3"/>
  <c r="D1011" i="3"/>
  <c r="D1012" i="3"/>
  <c r="D1013" i="3"/>
  <c r="D1014" i="3"/>
  <c r="D1015" i="3"/>
  <c r="D1016" i="3"/>
  <c r="D1017" i="3"/>
  <c r="D1018" i="3"/>
  <c r="D1019" i="3"/>
  <c r="D1020" i="3"/>
  <c r="D1021" i="3"/>
  <c r="D1022" i="3"/>
  <c r="D1023" i="3"/>
  <c r="D1024" i="3"/>
  <c r="D1025" i="3"/>
  <c r="D1026" i="3"/>
  <c r="D1027" i="3"/>
  <c r="D1028" i="3"/>
  <c r="D1029" i="3"/>
  <c r="D1030" i="3"/>
  <c r="D1031" i="3"/>
  <c r="D1032" i="3"/>
  <c r="D1033" i="3"/>
  <c r="D1034" i="3"/>
  <c r="D1035" i="3"/>
  <c r="D1036" i="3"/>
  <c r="D1037" i="3"/>
  <c r="D1038" i="3"/>
  <c r="D1039" i="3"/>
  <c r="D1040" i="3"/>
  <c r="D1041" i="3"/>
  <c r="D1042" i="3"/>
  <c r="D1043" i="3"/>
  <c r="D1044" i="3"/>
  <c r="D1045" i="3"/>
  <c r="D1046" i="3"/>
  <c r="D1047" i="3"/>
  <c r="D1048" i="3"/>
  <c r="D1049" i="3"/>
  <c r="D1050" i="3"/>
  <c r="D1051" i="3"/>
  <c r="D1052" i="3"/>
  <c r="D1053" i="3"/>
  <c r="D1054" i="3"/>
  <c r="D1055" i="3"/>
  <c r="D1056" i="3"/>
  <c r="D1057" i="3"/>
  <c r="D1058" i="3"/>
  <c r="D1059" i="3"/>
  <c r="D1060" i="3"/>
  <c r="D1061" i="3"/>
  <c r="D1062" i="3"/>
  <c r="D1063" i="3"/>
  <c r="D1064" i="3"/>
  <c r="D1065" i="3"/>
  <c r="D1066" i="3"/>
  <c r="D1067" i="3"/>
  <c r="D1068" i="3"/>
  <c r="D1069" i="3"/>
  <c r="D1070" i="3"/>
  <c r="D1071" i="3"/>
  <c r="D1072" i="3"/>
  <c r="D1073" i="3"/>
  <c r="D1074" i="3"/>
  <c r="D1075" i="3"/>
  <c r="D1076" i="3"/>
  <c r="D1077" i="3"/>
  <c r="D1078" i="3"/>
  <c r="D1079" i="3"/>
  <c r="D1080" i="3"/>
  <c r="D1081" i="3"/>
  <c r="D1082" i="3"/>
  <c r="D1083" i="3"/>
  <c r="D1084" i="3"/>
  <c r="D1085" i="3"/>
  <c r="D1086" i="3"/>
  <c r="D1087" i="3"/>
  <c r="D1088" i="3"/>
  <c r="D1089" i="3"/>
  <c r="D1090" i="3"/>
  <c r="D1091" i="3"/>
  <c r="D1092" i="3"/>
  <c r="D1093" i="3"/>
  <c r="D1094" i="3"/>
  <c r="D1095" i="3"/>
  <c r="D1096" i="3"/>
  <c r="D1097" i="3"/>
  <c r="D1098" i="3"/>
  <c r="D1099" i="3"/>
  <c r="D1100" i="3"/>
  <c r="D1101" i="3"/>
  <c r="D1102" i="3"/>
  <c r="D1103" i="3"/>
  <c r="D1104" i="3"/>
  <c r="D1105" i="3"/>
  <c r="D1106" i="3"/>
  <c r="D1107" i="3"/>
  <c r="D1108" i="3"/>
  <c r="D1109" i="3"/>
  <c r="D1110" i="3"/>
  <c r="D1111" i="3"/>
  <c r="D1112" i="3"/>
  <c r="D1113" i="3"/>
  <c r="D1114" i="3"/>
  <c r="D1115" i="3"/>
  <c r="D1116" i="3"/>
  <c r="D1117" i="3"/>
  <c r="D1118" i="3"/>
  <c r="D1119" i="3"/>
  <c r="D1120" i="3"/>
  <c r="D1121" i="3"/>
  <c r="D1122" i="3"/>
  <c r="D1123" i="3"/>
  <c r="D1124" i="3"/>
  <c r="D1125" i="3"/>
  <c r="D1126" i="3"/>
  <c r="D1127" i="3"/>
  <c r="D1128" i="3"/>
  <c r="D1129" i="3"/>
  <c r="D1130" i="3"/>
  <c r="D1131" i="3"/>
  <c r="D1132" i="3"/>
  <c r="D1133" i="3"/>
  <c r="D1134" i="3"/>
  <c r="D1135" i="3"/>
  <c r="D1136" i="3"/>
  <c r="D1137" i="3"/>
  <c r="D1138" i="3"/>
  <c r="D1139" i="3"/>
  <c r="D1140" i="3"/>
  <c r="D1141" i="3"/>
  <c r="D1142" i="3"/>
  <c r="D1143" i="3"/>
  <c r="D1144" i="3"/>
  <c r="D1145" i="3"/>
  <c r="D1146" i="3"/>
  <c r="D1147" i="3"/>
  <c r="D1148" i="3"/>
  <c r="D1149" i="3"/>
  <c r="D1150" i="3"/>
  <c r="D1151" i="3"/>
  <c r="D1152" i="3"/>
  <c r="D1153" i="3"/>
  <c r="D1154" i="3"/>
  <c r="D1155" i="3"/>
  <c r="D1156" i="3"/>
  <c r="D1157" i="3"/>
  <c r="D1158" i="3"/>
  <c r="D1159" i="3"/>
  <c r="D1160" i="3"/>
  <c r="D1161" i="3"/>
  <c r="D1162" i="3"/>
  <c r="D1163" i="3"/>
  <c r="D1164" i="3"/>
  <c r="D1165" i="3"/>
  <c r="D1166" i="3"/>
  <c r="D1167" i="3"/>
  <c r="D1168" i="3"/>
  <c r="D1169" i="3"/>
  <c r="D1170" i="3"/>
  <c r="D1171" i="3"/>
  <c r="D1172" i="3"/>
  <c r="D1173" i="3"/>
  <c r="D1174" i="3"/>
  <c r="D1175" i="3"/>
  <c r="D1176" i="3"/>
  <c r="D1177" i="3"/>
  <c r="D1178" i="3"/>
  <c r="D1179" i="3"/>
  <c r="D1180" i="3"/>
  <c r="D1181" i="3"/>
  <c r="D1182" i="3"/>
  <c r="D1183" i="3"/>
  <c r="D1184" i="3"/>
  <c r="D1185" i="3"/>
  <c r="D1186" i="3"/>
  <c r="D1187" i="3"/>
  <c r="D1188" i="3"/>
  <c r="D1189" i="3"/>
  <c r="D1190" i="3"/>
  <c r="D1191" i="3"/>
  <c r="D1192" i="3"/>
  <c r="D1193" i="3"/>
  <c r="D1194" i="3"/>
  <c r="D1195" i="3"/>
  <c r="D1196" i="3"/>
  <c r="D1197" i="3"/>
  <c r="D1198" i="3"/>
  <c r="D1199" i="3"/>
  <c r="D1200" i="3"/>
  <c r="D1201" i="3"/>
  <c r="D1202" i="3"/>
  <c r="D1203" i="3"/>
  <c r="D1204" i="3"/>
  <c r="D1205" i="3"/>
  <c r="D1206" i="3"/>
  <c r="D1207" i="3"/>
  <c r="D1208" i="3"/>
  <c r="D1209" i="3"/>
  <c r="D1210" i="3"/>
  <c r="D1211" i="3"/>
  <c r="D1212" i="3"/>
  <c r="D1213" i="3"/>
  <c r="D1214" i="3"/>
  <c r="D1215" i="3"/>
  <c r="D1216" i="3"/>
  <c r="D1217" i="3"/>
  <c r="D1218" i="3"/>
  <c r="D1219" i="3"/>
  <c r="D1220" i="3"/>
  <c r="D1221" i="3"/>
  <c r="D1222" i="3"/>
  <c r="D1223" i="3"/>
  <c r="D1224" i="3"/>
  <c r="D1225" i="3"/>
  <c r="D1226" i="3"/>
  <c r="D1227" i="3"/>
  <c r="D1228" i="3"/>
  <c r="D1229" i="3"/>
  <c r="D1230" i="3"/>
  <c r="D1231" i="3"/>
  <c r="D1232" i="3"/>
  <c r="D1233" i="3"/>
  <c r="D1234" i="3"/>
  <c r="D1235" i="3"/>
  <c r="D1236" i="3"/>
  <c r="D1237" i="3"/>
  <c r="D1238" i="3"/>
  <c r="D1239" i="3"/>
  <c r="D1240" i="3"/>
  <c r="D1241" i="3"/>
  <c r="D1242" i="3"/>
  <c r="D1243" i="3"/>
  <c r="D1244" i="3"/>
  <c r="D1245" i="3"/>
  <c r="D1246" i="3"/>
  <c r="D1247" i="3"/>
  <c r="D1248" i="3"/>
  <c r="D1249" i="3"/>
  <c r="D1250" i="3"/>
  <c r="D1251" i="3"/>
  <c r="D1252" i="3"/>
  <c r="D1253" i="3"/>
  <c r="D1254" i="3"/>
  <c r="D1255" i="3"/>
  <c r="D1256" i="3"/>
  <c r="D1257" i="3"/>
  <c r="D1258" i="3"/>
  <c r="D1259" i="3"/>
  <c r="D1260" i="3"/>
  <c r="D1261" i="3"/>
  <c r="D1262" i="3"/>
  <c r="D1263" i="3"/>
  <c r="D1264" i="3"/>
  <c r="D1265" i="3"/>
  <c r="D1266" i="3"/>
  <c r="D1267" i="3"/>
  <c r="D1268" i="3"/>
  <c r="D1269" i="3"/>
  <c r="D1270" i="3"/>
  <c r="D1271" i="3"/>
  <c r="D1272" i="3"/>
  <c r="D1273" i="3"/>
  <c r="D1274" i="3"/>
  <c r="D1275" i="3"/>
  <c r="D1276" i="3"/>
  <c r="D1277" i="3"/>
  <c r="D1278" i="3"/>
  <c r="D1279" i="3"/>
  <c r="D1280" i="3"/>
  <c r="D1281" i="3"/>
  <c r="D1282" i="3"/>
  <c r="D1283" i="3"/>
  <c r="D1284" i="3"/>
  <c r="D1285" i="3"/>
  <c r="D1286" i="3"/>
  <c r="D1287" i="3"/>
  <c r="D1288" i="3"/>
  <c r="D1289" i="3"/>
  <c r="D1290" i="3"/>
  <c r="D1291" i="3"/>
  <c r="D1292" i="3"/>
  <c r="D1293" i="3"/>
  <c r="D1294" i="3"/>
  <c r="D1295" i="3"/>
  <c r="D1296" i="3"/>
  <c r="D1297" i="3"/>
  <c r="D1298" i="3"/>
  <c r="D1299" i="3"/>
  <c r="D1300" i="3"/>
  <c r="D1301" i="3"/>
  <c r="D1302" i="3"/>
  <c r="D1303" i="3"/>
  <c r="D1304" i="3"/>
  <c r="D1305" i="3"/>
  <c r="D1306" i="3"/>
  <c r="D1307" i="3"/>
  <c r="D1308" i="3"/>
  <c r="D1309" i="3"/>
  <c r="D1310" i="3"/>
  <c r="D1311" i="3"/>
  <c r="D1312" i="3"/>
  <c r="D1313" i="3"/>
  <c r="D1314" i="3"/>
  <c r="D1315" i="3"/>
  <c r="D1316" i="3"/>
  <c r="D1317" i="3"/>
  <c r="D1318" i="3"/>
  <c r="D1319" i="3"/>
  <c r="D1320" i="3"/>
  <c r="D1321" i="3"/>
  <c r="D1322" i="3"/>
  <c r="D1323" i="3"/>
  <c r="D1324" i="3"/>
  <c r="D1325" i="3"/>
  <c r="D1326" i="3"/>
  <c r="D1327" i="3"/>
  <c r="D1328" i="3"/>
  <c r="D1329" i="3"/>
  <c r="D1330" i="3"/>
  <c r="D1331" i="3"/>
  <c r="D1332" i="3"/>
  <c r="D1333" i="3"/>
  <c r="D1334" i="3"/>
  <c r="D1335" i="3"/>
  <c r="D1336" i="3"/>
  <c r="D1337" i="3"/>
  <c r="D1338" i="3"/>
  <c r="D1339" i="3"/>
  <c r="D1340" i="3"/>
  <c r="D1341" i="3"/>
  <c r="D1342" i="3"/>
  <c r="D1343" i="3"/>
  <c r="D1344" i="3"/>
  <c r="D1345" i="3"/>
  <c r="D1346" i="3"/>
  <c r="D1347" i="3"/>
  <c r="D1348" i="3"/>
  <c r="D1349" i="3"/>
  <c r="D1350" i="3"/>
  <c r="D1351" i="3"/>
  <c r="D1352" i="3"/>
  <c r="D1353" i="3"/>
  <c r="D1354" i="3"/>
  <c r="D1355" i="3"/>
  <c r="D1356" i="3"/>
  <c r="D1357" i="3"/>
  <c r="D1358" i="3"/>
  <c r="D1359" i="3"/>
  <c r="D1360" i="3"/>
  <c r="D1361" i="3"/>
  <c r="D1362" i="3"/>
  <c r="D1363" i="3"/>
  <c r="D1364" i="3"/>
  <c r="D1365" i="3"/>
  <c r="D1366" i="3"/>
  <c r="D1367" i="3"/>
  <c r="D1368" i="3"/>
  <c r="D1369" i="3"/>
  <c r="D1370" i="3"/>
  <c r="D1371" i="3"/>
  <c r="D1372" i="3"/>
  <c r="D1373" i="3"/>
  <c r="D1374" i="3"/>
  <c r="D1375" i="3"/>
  <c r="D1376" i="3"/>
  <c r="D1377" i="3"/>
  <c r="D1378" i="3"/>
  <c r="D1379" i="3"/>
  <c r="D1380" i="3"/>
  <c r="D1381" i="3"/>
  <c r="D1382" i="3"/>
  <c r="D1383" i="3"/>
  <c r="D1384" i="3"/>
  <c r="D1385" i="3"/>
  <c r="D1386" i="3"/>
  <c r="D1387" i="3"/>
  <c r="D1388" i="3"/>
  <c r="D1389" i="3"/>
  <c r="D1390" i="3"/>
  <c r="D1391" i="3"/>
  <c r="D1392" i="3"/>
  <c r="D1393" i="3"/>
  <c r="D1394" i="3"/>
  <c r="D1395" i="3"/>
  <c r="D1396" i="3"/>
  <c r="D1397" i="3"/>
  <c r="D1398" i="3"/>
  <c r="D1399" i="3"/>
  <c r="D1400" i="3"/>
  <c r="D1401" i="3"/>
  <c r="D1402" i="3"/>
  <c r="D1403" i="3"/>
  <c r="D1404" i="3"/>
  <c r="D1405" i="3"/>
  <c r="D1406" i="3"/>
  <c r="D1407" i="3"/>
  <c r="D1408" i="3"/>
  <c r="D1409" i="3"/>
  <c r="D1410" i="3"/>
  <c r="D1411" i="3"/>
  <c r="D1412" i="3"/>
  <c r="D1413" i="3"/>
  <c r="D1414" i="3"/>
  <c r="D1415" i="3"/>
  <c r="D1416" i="3"/>
  <c r="D1417" i="3"/>
  <c r="D1418" i="3"/>
  <c r="D1419" i="3"/>
  <c r="D1420" i="3"/>
  <c r="D1421" i="3"/>
  <c r="D1422" i="3"/>
  <c r="D1423" i="3"/>
  <c r="D1424" i="3"/>
  <c r="D1425" i="3"/>
  <c r="D1426" i="3"/>
  <c r="D1427" i="3"/>
  <c r="D1428" i="3"/>
  <c r="D1429" i="3"/>
  <c r="D1430" i="3"/>
  <c r="D1431" i="3"/>
  <c r="D1432" i="3"/>
  <c r="D1433" i="3"/>
  <c r="D1434" i="3"/>
  <c r="D1435" i="3"/>
  <c r="D1436" i="3"/>
  <c r="D1437" i="3"/>
  <c r="D1438" i="3"/>
  <c r="D1439" i="3"/>
  <c r="D1440" i="3"/>
  <c r="D1441" i="3"/>
  <c r="D1442" i="3"/>
  <c r="D1443" i="3"/>
  <c r="D1444" i="3"/>
  <c r="D1445" i="3"/>
  <c r="D1446" i="3"/>
  <c r="D1447" i="3"/>
  <c r="D1448" i="3"/>
  <c r="D1449" i="3"/>
  <c r="D1450" i="3"/>
  <c r="D1451" i="3"/>
  <c r="D1452" i="3"/>
  <c r="D1453" i="3"/>
  <c r="D1454" i="3"/>
  <c r="D1455" i="3"/>
  <c r="D1456" i="3"/>
  <c r="D1457" i="3"/>
  <c r="D1458" i="3"/>
  <c r="D1459" i="3"/>
  <c r="D1460" i="3"/>
  <c r="D1461" i="3"/>
  <c r="D1462" i="3"/>
  <c r="D1463" i="3"/>
  <c r="D1464" i="3"/>
  <c r="D1465" i="3"/>
  <c r="D1466" i="3"/>
  <c r="D1467" i="3"/>
  <c r="D1468" i="3"/>
  <c r="D1469" i="3"/>
  <c r="D1470" i="3"/>
  <c r="D1471" i="3"/>
  <c r="D1472" i="3"/>
  <c r="D1473" i="3"/>
  <c r="D1474" i="3"/>
  <c r="D1475" i="3"/>
  <c r="D1476" i="3"/>
  <c r="D1477" i="3"/>
  <c r="D1478" i="3"/>
  <c r="D1479" i="3"/>
  <c r="D1480" i="3"/>
  <c r="D1481" i="3"/>
  <c r="D1482" i="3"/>
  <c r="D1483" i="3"/>
  <c r="D1484" i="3"/>
  <c r="D1485" i="3"/>
  <c r="D1486" i="3"/>
  <c r="D1487" i="3"/>
  <c r="D1488" i="3"/>
  <c r="D1489" i="3"/>
  <c r="D1490" i="3"/>
  <c r="D1491" i="3"/>
  <c r="D1492" i="3"/>
  <c r="D1493" i="3"/>
  <c r="D1494" i="3"/>
  <c r="D1495" i="3"/>
  <c r="D1496" i="3"/>
  <c r="D1497" i="3"/>
  <c r="D1498" i="3"/>
  <c r="D1499" i="3"/>
  <c r="D1500" i="3"/>
  <c r="D1501" i="3"/>
  <c r="D1502" i="3"/>
  <c r="D1503" i="3"/>
  <c r="D1504" i="3"/>
  <c r="D1505" i="3"/>
  <c r="D1506" i="3"/>
  <c r="D1507" i="3"/>
  <c r="D1508" i="3"/>
  <c r="D1509" i="3"/>
  <c r="D1510" i="3"/>
  <c r="D1511" i="3"/>
  <c r="D1512" i="3"/>
  <c r="D1513" i="3"/>
  <c r="D1514" i="3"/>
  <c r="D1515" i="3"/>
  <c r="D1516" i="3"/>
  <c r="D1517" i="3"/>
  <c r="D1518" i="3"/>
  <c r="D1519" i="3"/>
  <c r="D1520" i="3"/>
  <c r="D1521" i="3"/>
  <c r="D1522" i="3"/>
  <c r="D1523" i="3"/>
  <c r="D1524" i="3"/>
  <c r="D1525" i="3"/>
  <c r="D1526" i="3"/>
  <c r="D1527" i="3"/>
  <c r="D1528" i="3"/>
  <c r="D1529" i="3"/>
  <c r="D1530" i="3"/>
  <c r="D1531" i="3"/>
  <c r="D1532" i="3"/>
  <c r="D1533" i="3"/>
  <c r="D1534" i="3"/>
  <c r="D1535" i="3"/>
  <c r="D1536" i="3"/>
  <c r="D1537" i="3"/>
  <c r="D1538" i="3"/>
  <c r="D1539" i="3"/>
  <c r="D1540" i="3"/>
  <c r="D1541" i="3"/>
  <c r="D1542" i="3"/>
  <c r="D1543" i="3"/>
  <c r="D1544" i="3"/>
  <c r="D1545" i="3"/>
  <c r="D1546" i="3"/>
  <c r="D1547" i="3"/>
  <c r="D1548" i="3"/>
  <c r="D1549" i="3"/>
  <c r="D1550" i="3"/>
  <c r="D1551" i="3"/>
  <c r="D1552" i="3"/>
  <c r="D1553" i="3"/>
  <c r="D1554" i="3"/>
  <c r="D1555" i="3"/>
  <c r="D1556" i="3"/>
  <c r="D1557" i="3"/>
  <c r="D1558" i="3"/>
  <c r="D1559" i="3"/>
  <c r="D1560" i="3"/>
  <c r="D1561" i="3"/>
  <c r="D1562" i="3"/>
  <c r="D1563" i="3"/>
  <c r="D1564" i="3"/>
  <c r="D1565" i="3"/>
  <c r="D1566" i="3"/>
  <c r="D1567" i="3"/>
  <c r="D1568" i="3"/>
  <c r="D1569" i="3"/>
  <c r="D1570" i="3"/>
  <c r="D1571" i="3"/>
  <c r="D1572" i="3"/>
  <c r="D1573" i="3"/>
  <c r="D1574" i="3"/>
  <c r="D1575" i="3"/>
  <c r="D1576" i="3"/>
  <c r="D1577" i="3"/>
  <c r="D1578" i="3"/>
  <c r="D1579" i="3"/>
  <c r="D1580" i="3"/>
  <c r="D1581" i="3"/>
  <c r="D1582" i="3"/>
  <c r="D1583" i="3"/>
  <c r="D1584" i="3"/>
  <c r="D1585" i="3"/>
  <c r="D1586" i="3"/>
  <c r="D1587" i="3"/>
  <c r="D1588" i="3"/>
  <c r="D1589" i="3"/>
  <c r="D1590" i="3"/>
  <c r="D1591" i="3"/>
  <c r="D1592" i="3"/>
  <c r="D1593" i="3"/>
  <c r="D1594" i="3"/>
  <c r="D1595" i="3"/>
  <c r="D1596" i="3"/>
  <c r="D1597" i="3"/>
  <c r="D1598" i="3"/>
  <c r="D1599" i="3"/>
  <c r="D1600" i="3"/>
  <c r="D1601" i="3"/>
  <c r="D1602" i="3"/>
  <c r="D1603" i="3"/>
  <c r="D1604" i="3"/>
  <c r="D1605" i="3"/>
  <c r="D1606" i="3"/>
  <c r="D1607" i="3"/>
  <c r="D1608" i="3"/>
  <c r="D1609" i="3"/>
  <c r="D1610" i="3"/>
  <c r="D1611" i="3"/>
  <c r="D1612" i="3"/>
  <c r="D1613" i="3"/>
  <c r="D1614" i="3"/>
  <c r="D1615" i="3"/>
  <c r="D1616" i="3"/>
  <c r="D1617" i="3"/>
  <c r="D1618" i="3"/>
  <c r="D1619" i="3"/>
  <c r="D1620" i="3"/>
  <c r="D1621" i="3"/>
  <c r="D1622" i="3"/>
  <c r="D1623" i="3"/>
  <c r="D1624" i="3"/>
  <c r="D1625" i="3"/>
  <c r="D1626" i="3"/>
  <c r="D31" i="1"/>
  <c r="K8" i="1" l="1" a="1"/>
  <c r="K8" i="1" s="1"/>
  <c r="D248" i="4"/>
  <c r="D247" i="4"/>
  <c r="D246" i="4"/>
  <c r="D245" i="4"/>
  <c r="D244" i="4"/>
  <c r="D243" i="4"/>
  <c r="D242" i="4"/>
  <c r="D241" i="4"/>
  <c r="D240" i="4"/>
  <c r="D239" i="4"/>
  <c r="D238" i="4"/>
  <c r="D237" i="4"/>
  <c r="D236" i="4"/>
  <c r="D235" i="4"/>
  <c r="D234" i="4"/>
  <c r="D233" i="4"/>
  <c r="D232" i="4"/>
  <c r="D231" i="4"/>
  <c r="D230" i="4"/>
  <c r="D229" i="4"/>
  <c r="D228" i="4"/>
  <c r="D227" i="4"/>
  <c r="D226" i="4"/>
  <c r="D225" i="4"/>
  <c r="D224" i="4"/>
  <c r="D223" i="4"/>
  <c r="D222" i="4"/>
  <c r="D221" i="4"/>
  <c r="D220" i="4"/>
  <c r="D219" i="4"/>
  <c r="D218" i="4"/>
  <c r="D217" i="4"/>
  <c r="D216" i="4"/>
  <c r="D215" i="4"/>
  <c r="D214" i="4"/>
  <c r="D212" i="4"/>
  <c r="D211" i="4"/>
  <c r="D210" i="4"/>
  <c r="D209" i="4"/>
  <c r="D208" i="4"/>
  <c r="D207" i="4"/>
  <c r="D206" i="4"/>
  <c r="D205" i="4"/>
  <c r="D204" i="4"/>
  <c r="D203" i="4"/>
  <c r="D202" i="4"/>
  <c r="D201" i="4"/>
  <c r="D200" i="4"/>
  <c r="D199" i="4"/>
  <c r="D198" i="4"/>
  <c r="D197" i="4"/>
  <c r="D196" i="4"/>
  <c r="D195" i="4"/>
  <c r="D194" i="4"/>
  <c r="D193" i="4"/>
  <c r="D192" i="4"/>
  <c r="D191" i="4"/>
  <c r="D190" i="4"/>
  <c r="D189" i="4"/>
  <c r="D188" i="4"/>
  <c r="D186" i="4"/>
  <c r="D185" i="4"/>
  <c r="D184" i="4"/>
  <c r="D183" i="4"/>
  <c r="D182" i="4"/>
  <c r="D181" i="4"/>
  <c r="D179" i="4"/>
  <c r="D178" i="4"/>
  <c r="D177" i="4"/>
  <c r="D176" i="4"/>
  <c r="D175" i="4"/>
  <c r="D174" i="4"/>
  <c r="D173" i="4"/>
  <c r="D172" i="4"/>
  <c r="D171" i="4"/>
  <c r="D170" i="4"/>
  <c r="D169" i="4"/>
  <c r="D167" i="4"/>
  <c r="D166" i="4"/>
  <c r="D165" i="4"/>
  <c r="D164" i="4"/>
  <c r="D163" i="4"/>
  <c r="D162" i="4"/>
  <c r="D161" i="4"/>
  <c r="D160" i="4"/>
  <c r="D159" i="4"/>
  <c r="D158" i="4"/>
  <c r="D157" i="4"/>
  <c r="D156" i="4"/>
  <c r="D155" i="4"/>
  <c r="D154" i="4"/>
  <c r="D153" i="4"/>
  <c r="D152" i="4"/>
  <c r="D151" i="4"/>
  <c r="D150" i="4"/>
  <c r="D149" i="4"/>
  <c r="D148" i="4"/>
  <c r="D146" i="4"/>
  <c r="D145" i="4"/>
  <c r="D144" i="4"/>
  <c r="D143" i="4"/>
  <c r="D142" i="4"/>
  <c r="D141" i="4"/>
  <c r="D140" i="4"/>
  <c r="D139" i="4"/>
  <c r="D138" i="4"/>
  <c r="D137" i="4"/>
  <c r="D136" i="4"/>
  <c r="D135" i="4"/>
  <c r="D134" i="4"/>
  <c r="D133" i="4"/>
  <c r="D132" i="4"/>
  <c r="D131" i="4"/>
  <c r="D130" i="4"/>
  <c r="D129" i="4"/>
  <c r="D128" i="4"/>
  <c r="D127" i="4"/>
  <c r="D126" i="4"/>
  <c r="D125" i="4"/>
  <c r="D124" i="4"/>
  <c r="D123" i="4"/>
  <c r="D122" i="4"/>
  <c r="D121" i="4"/>
  <c r="D120" i="4"/>
  <c r="D119" i="4"/>
  <c r="D118" i="4"/>
  <c r="D117" i="4"/>
  <c r="D116" i="4"/>
  <c r="D115" i="4"/>
  <c r="D114" i="4"/>
  <c r="D112" i="4"/>
  <c r="D111" i="4"/>
  <c r="D110" i="4"/>
  <c r="D109" i="4"/>
  <c r="D108" i="4"/>
  <c r="D107" i="4"/>
  <c r="D106" i="4"/>
  <c r="D105" i="4"/>
  <c r="D104" i="4"/>
  <c r="D103" i="4"/>
  <c r="D102" i="4"/>
  <c r="D101" i="4"/>
  <c r="D100" i="4"/>
  <c r="D99" i="4"/>
  <c r="D98" i="4"/>
  <c r="D97" i="4"/>
  <c r="D96" i="4"/>
  <c r="D95" i="4"/>
  <c r="D94" i="4"/>
  <c r="D93" i="4"/>
  <c r="D92" i="4"/>
  <c r="D91" i="4"/>
  <c r="D90" i="4"/>
  <c r="D89" i="4"/>
  <c r="D88" i="4"/>
  <c r="D87" i="4"/>
  <c r="D86" i="4"/>
  <c r="D85" i="4"/>
  <c r="D84" i="4"/>
  <c r="D83" i="4"/>
  <c r="D82" i="4"/>
  <c r="D81" i="4"/>
  <c r="D80" i="4"/>
  <c r="D79" i="4"/>
  <c r="D78" i="4"/>
  <c r="D77" i="4"/>
  <c r="D76" i="4"/>
  <c r="D75" i="4"/>
  <c r="D74" i="4"/>
  <c r="D73" i="4"/>
  <c r="D72" i="4"/>
  <c r="D71" i="4"/>
  <c r="D70" i="4"/>
  <c r="D69" i="4"/>
  <c r="D68" i="4"/>
  <c r="D67" i="4"/>
  <c r="D66" i="4"/>
  <c r="D65" i="4"/>
  <c r="D64" i="4"/>
  <c r="D63" i="4"/>
  <c r="D62" i="4"/>
  <c r="D61" i="4"/>
  <c r="D60" i="4"/>
  <c r="D59" i="4"/>
  <c r="D58" i="4"/>
  <c r="D57" i="4"/>
  <c r="D56" i="4"/>
  <c r="D55" i="4"/>
  <c r="D53" i="4"/>
  <c r="D52" i="4"/>
  <c r="D51" i="4"/>
  <c r="D50" i="4"/>
  <c r="D49" i="4"/>
  <c r="D48" i="4"/>
  <c r="D47" i="4"/>
  <c r="D46" i="4"/>
  <c r="D45" i="4"/>
  <c r="D44" i="4"/>
  <c r="D43" i="4"/>
  <c r="D42" i="4"/>
  <c r="D41" i="4"/>
  <c r="D40" i="4"/>
  <c r="D38" i="4"/>
  <c r="D37" i="4"/>
  <c r="D36" i="4"/>
  <c r="D35" i="4"/>
  <c r="D34" i="4"/>
  <c r="D33" i="4"/>
  <c r="D32" i="4"/>
  <c r="D31" i="4"/>
  <c r="D30" i="4"/>
  <c r="D29" i="4"/>
  <c r="D28" i="4"/>
  <c r="D27" i="4"/>
  <c r="D26" i="4"/>
  <c r="D25" i="4"/>
  <c r="D24" i="4"/>
  <c r="D23" i="4"/>
  <c r="D22" i="4"/>
  <c r="D20" i="4"/>
  <c r="D19" i="4"/>
  <c r="D18" i="4"/>
  <c r="D16" i="4"/>
  <c r="D14" i="4"/>
  <c r="D12" i="4"/>
  <c r="D11" i="4"/>
  <c r="D9" i="4"/>
  <c r="D7" i="4"/>
  <c r="D5" i="4"/>
  <c r="D3" i="4"/>
  <c r="A21" i="3"/>
  <c r="A20" i="3"/>
  <c r="A19" i="3"/>
  <c r="A18" i="3"/>
  <c r="A17" i="3"/>
  <c r="A16" i="3"/>
  <c r="A15" i="3"/>
  <c r="A14" i="3"/>
  <c r="A13" i="3"/>
  <c r="A12" i="3"/>
  <c r="A11" i="3"/>
  <c r="H1" i="1" l="1"/>
  <c r="J31" i="1" s="1"/>
</calcChain>
</file>

<file path=xl/sharedStrings.xml><?xml version="1.0" encoding="utf-8"?>
<sst xmlns="http://schemas.openxmlformats.org/spreadsheetml/2006/main" count="887" uniqueCount="277">
  <si>
    <t>Date</t>
  </si>
  <si>
    <t>Ref :</t>
  </si>
  <si>
    <t>Num Fiche</t>
  </si>
  <si>
    <t>Heure</t>
  </si>
  <si>
    <t>Nom prénom</t>
  </si>
  <si>
    <t>Now</t>
  </si>
  <si>
    <t>Motif</t>
  </si>
  <si>
    <t>Action</t>
  </si>
  <si>
    <t>Commentaire</t>
  </si>
  <si>
    <t>Carte</t>
  </si>
  <si>
    <t>NRP</t>
  </si>
  <si>
    <t>Clôt</t>
  </si>
  <si>
    <t>revoir les garanties</t>
  </si>
  <si>
    <t>Appel</t>
  </si>
  <si>
    <t>Rappel</t>
  </si>
  <si>
    <t>Fiche N°1344695 - Sylvie CHANSIGAUD</t>
  </si>
  <si>
    <t>Fiche N°1574146 - Liliane MENTREL</t>
  </si>
  <si>
    <t>df</t>
  </si>
  <si>
    <t>Fiche N°881113 - Marie-pascale ARTON</t>
  </si>
  <si>
    <t>ecoute</t>
  </si>
  <si>
    <t>Traité</t>
  </si>
  <si>
    <t>ok</t>
  </si>
  <si>
    <t>Fiche N°1575397 - Dominique VIGUIER</t>
  </si>
  <si>
    <t>Ecoute</t>
  </si>
  <si>
    <t>Fiche N°314064 - Didier LE PARC</t>
  </si>
  <si>
    <t xml:space="preserve">Revoir le contrat </t>
  </si>
  <si>
    <t xml:space="preserve">Ai contacté l'assuré pour lui proposer un contrat il ma confirmé qu'il souhaite garder juste l'hospi et les soins ==&gt; je lui ai envoyer 3 formule et je programme un rappel </t>
  </si>
  <si>
    <t>Fiche N°1611218 - DANIELLE SCANTLEBURY</t>
  </si>
  <si>
    <t>Suivie</t>
  </si>
  <si>
    <t xml:space="preserve">Ai contacté l'assu mais elle est injoignable == un messgae est laisse </t>
  </si>
  <si>
    <t>Transfert standard</t>
  </si>
  <si>
    <t xml:space="preserve">un rappel est prévu après la collecte des informations </t>
  </si>
  <si>
    <t>Motif :</t>
  </si>
  <si>
    <t>Resumé :</t>
  </si>
  <si>
    <t>Commentaire :</t>
  </si>
  <si>
    <t>Ai contacté l'assuré dans le cadre de la compagne pour l'informer d'une augmentation mais il 'est injoignable je lui laisse un message sur le répondeur.</t>
  </si>
  <si>
    <t>CHAURIN JEAN LUC 1/5/2113%</t>
  </si>
  <si>
    <t xml:space="preserve">
Net Courtage Assurances - 3 avenue de l'épi 77540 Rozay en Brie
Votre conseiller : Remy GARAU
Tel agence : 09 88 99 48 01
Mail : lorine@ncassurances.com</t>
  </si>
  <si>
    <t>06 47 74 21 11</t>
  </si>
  <si>
    <t>MALATERRE RITA 10/5/2113%</t>
  </si>
  <si>
    <t>06 87 59 37 18</t>
  </si>
  <si>
    <t>CHAUCHAT FRANCOISE 19/05/202113%</t>
  </si>
  <si>
    <t>07 88 39 26 32</t>
  </si>
  <si>
    <t>COTTARD THERESE MA 1/6/2113%</t>
  </si>
  <si>
    <t>06 82 09 07 51</t>
  </si>
  <si>
    <t>DESSOYE MICHELE 1/6/2113%</t>
  </si>
  <si>
    <t>Introuvable</t>
  </si>
  <si>
    <t>06 15 76 23 95</t>
  </si>
  <si>
    <t>MICHEL GILLES 1/6/2113%</t>
  </si>
  <si>
    <t>06 99 77 50 88</t>
  </si>
  <si>
    <t>RENAULT BERNARD 10/6/2113%</t>
  </si>
  <si>
    <t>06 11 01 72 21
SCHNEIDER GERARD 1/3/22
13%</t>
  </si>
  <si>
    <t>06 17 31 29 97</t>
  </si>
  <si>
    <t>BERTHONNEAU CHRISTIAN 15/03/202217%</t>
  </si>
  <si>
    <t>06 88 12 30 31
MUNYANKINDI PATRICIA 23/03/2022
13%</t>
  </si>
  <si>
    <t xml:space="preserve">
06 83 29 04 45
CIANFARANI CHARLES AN 10/4/22
13%</t>
  </si>
  <si>
    <t>06 30 03 73 16
CHERI A.FRANCE 1/6/22
13%</t>
  </si>
  <si>
    <t>06 88 73 02 81
GRANDIN JACQUELINE 1/3/23
13%</t>
  </si>
  <si>
    <t>06 16 03 20 23
AUGUET PATRICK GE 14/03/2023
13%</t>
  </si>
  <si>
    <t>07 88 98 65 37
CHEDAL MIREILLE 1/4/23
13%</t>
  </si>
  <si>
    <t>06 20 01 62 43
TERFOUS AHMED 1/4/23
13%</t>
  </si>
  <si>
    <t>07 64 47 53 16
COUSIN CLAUDE 1/5/23
13%</t>
  </si>
  <si>
    <t>06 99 90 59 62
DECINA SERGE 1/5/23
13%</t>
  </si>
  <si>
    <t xml:space="preserve">Joignable mais il a résilier </t>
  </si>
  <si>
    <t>06 65 45 26 69
HALLAIS JEAN MARC 1/5/23
13%</t>
  </si>
  <si>
    <t>06 16 87 31 97
PALANQUE DENIS 10/5/23
13%</t>
  </si>
  <si>
    <t xml:space="preserve">contrat résilié </t>
  </si>
  <si>
    <t xml:space="preserve"> revoir </t>
  </si>
  <si>
    <t>06 26 43 07 04
BRACONNIER JEAN PIERR 1/6/23
13%</t>
  </si>
  <si>
    <t>06 84 57 02 27
DONINEAUX MARIE JOSE 1/6/23
17%</t>
  </si>
  <si>
    <t>06 61 78 36 52
DUMENIL ANNE-MARIE 1/6/23
13%</t>
  </si>
  <si>
    <t>06 22 11 88 75
NEVEUX DENIS 1/6/23
13%</t>
  </si>
  <si>
    <t>06 43 51 75 75
PONT FRANCOISE 1/6/23
13%</t>
  </si>
  <si>
    <t>Appel a rfazire</t>
  </si>
  <si>
    <t>OK</t>
  </si>
  <si>
    <t>06 64 23 14 31
ZERIOUH SALEM 1/6/23
17%</t>
  </si>
  <si>
    <t>06 16 47 62 74
PARISI DOMINIQUE 19/06/2023
13%</t>
  </si>
  <si>
    <t xml:space="preserve">Dentaire </t>
  </si>
  <si>
    <t xml:space="preserve">philipine,parisi@laposte.net </t>
  </si>
  <si>
    <t>philipine,parisi@sfr.fr</t>
  </si>
  <si>
    <t xml:space="preserve">Identifiant </t>
  </si>
  <si>
    <t>06 18 18 74 87
DUARTENUNES MARIA 1/3/24
17%</t>
  </si>
  <si>
    <t>07 77 95 76 06
DUVALLE GERMAINE 1/3/24
13%</t>
  </si>
  <si>
    <t>06 32 40 67 80
MANGIN MICHEL 1/3/24
13%</t>
  </si>
  <si>
    <t>07 50 96 60 98
SIBAHI SOMAH FRAN 5/3/24
13%</t>
  </si>
  <si>
    <t xml:space="preserve">OK </t>
  </si>
  <si>
    <t>06 58 03 04 25
MAUVAIS ARMELLE 8/3/24
13%</t>
  </si>
  <si>
    <t>06 61 19 88 44
LEVANT ELISABETH 10/3/24
13%</t>
  </si>
  <si>
    <t>06 13 61 33 20
MAZUIR CLAUDE 10/3/24
17%</t>
  </si>
  <si>
    <t>06 07 74 08 46
PINAGOT BERNARD 10/3/24
13%</t>
  </si>
  <si>
    <t>06 85 13 63 62
BARRAUD ALEXANDRIN 11/3/24
13%</t>
  </si>
  <si>
    <t>06 48 36 84 23
AINOUZ ELIE 15/03/2024
13%</t>
  </si>
  <si>
    <t>06 28 76 61 21  0637944381
MOYA ANDRE 23/03/2024
13%</t>
  </si>
  <si>
    <t>06 95 60 71 44
AMAOUCHE MESSAOUDA 1/4/24
13%</t>
  </si>
  <si>
    <t>06 85 15 05 46
CLARISSE YVES 1/4/24
13%</t>
  </si>
  <si>
    <t>07 87 24 17 54
CLAUDEL HUBERT 1/4/24
13%</t>
  </si>
  <si>
    <t>06 58 42 91 50
CROSNIER ROGER 1/4/24
13%</t>
  </si>
  <si>
    <t>07 83 34 13 70
CROUZET ALAIN 1/4/24
13%</t>
  </si>
  <si>
    <t>06 26 40 83 58
DEALMEIDA ANA MARIA 1/4/24
13%</t>
  </si>
  <si>
    <t>06 24 22 87 39
DELEAGE ALAIN 1/4/24
13%</t>
  </si>
  <si>
    <t>06 17 52 46 40
DUCLOYER BERNARD 1/4/24
13%</t>
  </si>
  <si>
    <t>refus</t>
  </si>
  <si>
    <t>06 61 62 32 17
ELKEFI MONCEF 1/4/24
13%</t>
  </si>
  <si>
    <t>ko</t>
  </si>
  <si>
    <t>07 83 26 13 54
ELKHALFI BRAHIM 1/4/24
17%</t>
  </si>
  <si>
    <t>06 98 85 40 09
HILAIRE JEAN 1/4/24
13%</t>
  </si>
  <si>
    <t>06 50 72 80 72
KABEYA BIN 1/4/24
13%</t>
  </si>
  <si>
    <t>06 84 18 15 83
LECANN DANIELLE 1/4/24
13%</t>
  </si>
  <si>
    <t>06 84 38 55 07
LENFANT DOMINIQUE 1/4/24
17%</t>
  </si>
  <si>
    <t>06 13 95 29 34
LUXIMON BEEMAH 1/4/24
13%</t>
  </si>
  <si>
    <t>06 41 80 75 68
MARTIN JEAN LOUIS 1/4/24
13%</t>
  </si>
  <si>
    <t>06 21 03 99 10
MEDKOUR AMAR 1/4/24
13%</t>
  </si>
  <si>
    <t xml:space="preserve">resiliation réclamé rappel prévu </t>
  </si>
  <si>
    <t>06 50 71 46 59
NUBUL PHILIPPE 1/4/24
13%</t>
  </si>
  <si>
    <t>06 84 96 12 65
OLLIVIER CLAUDE 1/4/24
13%</t>
  </si>
  <si>
    <t>06 24 62 00 48
PAUPERT LOUISETTE 1/4/24
13%</t>
  </si>
  <si>
    <t>06 61 86 15 67
PENSEDENT MICHELINE 1/4/24
13%</t>
  </si>
  <si>
    <t>06 29 30 83 90
SAUVAGE NELLY 1/4/24
13%</t>
  </si>
  <si>
    <t>33 bis avenu generale degaule 94420</t>
  </si>
  <si>
    <t xml:space="preserve">mail a envoyer avec le num de téléphone </t>
  </si>
  <si>
    <t>07 69 44 64 28
HAMITOUCHE MOURAD 6/4/24
13%</t>
  </si>
  <si>
    <t>07 67 11 10 15
PONT ALAIN 9/4/24
17%</t>
  </si>
  <si>
    <t xml:space="preserve">resiliation en cours </t>
  </si>
  <si>
    <t>06 46 84 78 46
FOURNIVAL SYLVIE 10/4/24
13%</t>
  </si>
  <si>
    <t>06 84 66 33 96
CARIO ROGER 11/4/24
13%</t>
  </si>
  <si>
    <t>07 48 10 60 59
BOEYINGA ANNEKE 12/4/24
13%</t>
  </si>
  <si>
    <t>06 44 25 96 30
MAUBECHE JEAN PIERR 12/4/24
13%</t>
  </si>
  <si>
    <t>06 62 89 08 69
ANGLARD JACQUELINE 22/04/2024
13%</t>
  </si>
  <si>
    <t>06 70 35 64 24
PEYROT CHRISTIAN 22/04/2024
13%</t>
  </si>
  <si>
    <t xml:space="preserve">a rappler </t>
  </si>
  <si>
    <t xml:space="preserve"> arappler demain pour voir si il sera remboursé pour le ddentaire </t>
  </si>
  <si>
    <t>06 26 85 75 78
BELHARRAT YOUCEF 1/5/24
13%</t>
  </si>
  <si>
    <t>06 07 87 56 35
BONNIER SOLANGE 1/5/24
13%</t>
  </si>
  <si>
    <t>06 16 35 45 37
COHEN FRANCOISE 1/5/24
13%</t>
  </si>
  <si>
    <t>06 42 17 40 09
DAUCHY JULES 1/5/24
13%</t>
  </si>
  <si>
    <t>06 61 58 16 45
DENIZE MICHELE 1/5/24
13%</t>
  </si>
  <si>
    <t>07 64 17 12 32
DETEVE EDOUARD 1/5/24
13%</t>
  </si>
  <si>
    <t>06 43 34 18 51
ENAULT ERIC 1/5/24
13%</t>
  </si>
  <si>
    <t>Coordonnée</t>
  </si>
  <si>
    <t xml:space="preserve">Num de téléphone </t>
  </si>
  <si>
    <t xml:space="preserve">Statut </t>
  </si>
  <si>
    <t>a revoir</t>
  </si>
  <si>
    <t>06 87 04 14 19
LELEU JEAN PIERRE 17/06/2021
13%</t>
  </si>
  <si>
    <t>06 98 27 52 47 VEYRENC RENEE 1/6/23
13%</t>
  </si>
  <si>
    <t>LELEU JEAN PIERRE</t>
  </si>
  <si>
    <t>VEYRENC RENEE</t>
  </si>
  <si>
    <t>SIBAHI SOMAH FRAN</t>
  </si>
  <si>
    <t>ELKEFI MONCEF</t>
  </si>
  <si>
    <t>NUBUL PHILIPPE</t>
  </si>
  <si>
    <t>HAMITOUCHE MOURAD</t>
  </si>
  <si>
    <t>CARIO ROGER</t>
  </si>
  <si>
    <t>MAUBECHE JEAN PIER</t>
  </si>
  <si>
    <t>DENIZE MICHELE</t>
  </si>
  <si>
    <t xml:space="preserve">06 87 04 14 19
</t>
  </si>
  <si>
    <t xml:space="preserve">06 98 27 52 47 </t>
  </si>
  <si>
    <t xml:space="preserve">07 50 96 60 98
</t>
  </si>
  <si>
    <t xml:space="preserve">06 61 62 32 17
</t>
  </si>
  <si>
    <t xml:space="preserve">06 50 71 46 59
</t>
  </si>
  <si>
    <t xml:space="preserve">07 69 44 64 28
</t>
  </si>
  <si>
    <t xml:space="preserve">06 84 66 33 96
</t>
  </si>
  <si>
    <t xml:space="preserve">06 44 25 96 30
</t>
  </si>
  <si>
    <t xml:space="preserve">06 61 58 16 45
</t>
  </si>
  <si>
    <t>Résilié</t>
  </si>
  <si>
    <t>SMGDCOV11744-1</t>
  </si>
  <si>
    <t xml:space="preserve">Ai contacté l'assu pour l'informer d'un emajoration de 15 % </t>
  </si>
  <si>
    <t>Contrat</t>
  </si>
  <si>
    <t>A aappeler</t>
  </si>
  <si>
    <t>F908000202846</t>
  </si>
  <si>
    <t xml:space="preserve"> SMGDCOV23721-1</t>
  </si>
  <si>
    <t>SMGDCOV18417-1</t>
  </si>
  <si>
    <t>repondeur</t>
  </si>
  <si>
    <t>SMGDCOV19926-1</t>
  </si>
  <si>
    <t>Rpondeur</t>
  </si>
  <si>
    <t>Fiche N°1602797 - Somah françoise SIBAHI</t>
  </si>
  <si>
    <t>Compagne</t>
  </si>
  <si>
    <t>il demande etre rappler selon un relanec</t>
  </si>
  <si>
    <t>Fiche N°1599457 - MARIA DUARTE NUNES</t>
  </si>
  <si>
    <t>Mail</t>
  </si>
  <si>
    <t xml:space="preserve">Ai rappelé l'assuré suite a sa demande mais il conteste juste le fait de ne pas être  informer </t>
  </si>
  <si>
    <t>gomes</t>
  </si>
  <si>
    <t>AMM</t>
  </si>
  <si>
    <t xml:space="preserve">Appel reçu </t>
  </si>
  <si>
    <t>Fiche N°1703273 - Christian PEYROT</t>
  </si>
  <si>
    <t xml:space="preserve">Assu informé de l'augmentation </t>
  </si>
  <si>
    <t>Fiche N°1630171 - Micheline TARTAG</t>
  </si>
  <si>
    <t>Fiche N°1523857 - Mhajbi ABDELKEFI</t>
  </si>
  <si>
    <t>compagne</t>
  </si>
  <si>
    <t>Fiche N°1599940 - Jean pierre MAUBECHE</t>
  </si>
  <si>
    <t>Fiche N°1614649 - Philippe NUBUL</t>
  </si>
  <si>
    <t xml:space="preserve">Explication </t>
  </si>
  <si>
    <t xml:space="preserve">Reclamation </t>
  </si>
  <si>
    <t xml:space="preserve">Injoignable </t>
  </si>
  <si>
    <t xml:space="preserve">assu injoignable </t>
  </si>
  <si>
    <t>Point a refaire</t>
  </si>
  <si>
    <t>Ai contacté l'Assuré pour un recueille de besoin ==&gt; Optique ==&gt; Dentaire =&gt; Auditif ==&gt; Je lui ai expliqué le principe et je lui envoie les deux devis plus avantageux.Elle va réfléchir et nous rappeler après.</t>
  </si>
  <si>
    <t>Fiche N°1625831 - Danielle DELRIEU</t>
  </si>
  <si>
    <t xml:space="preserve">Prévu pour lundi matin </t>
  </si>
  <si>
    <t>Fiche N°1503385 - DOMINIQUE DUBOIS</t>
  </si>
  <si>
    <t>Source :</t>
  </si>
  <si>
    <t>Standard-Murielle</t>
  </si>
  <si>
    <t>Assuré-Mail</t>
  </si>
  <si>
    <t xml:space="preserve">Demande d'explication ==&gt; </t>
  </si>
  <si>
    <t>Fiche N°1594927 - Michel MANGIN</t>
  </si>
  <si>
    <t xml:space="preserve">A Contacter </t>
  </si>
  <si>
    <t xml:space="preserve">Client demande a ce qu on l appel </t>
  </si>
  <si>
    <t>Historique</t>
  </si>
  <si>
    <t>Fiche N°1637269 - Serge COULON</t>
  </si>
  <si>
    <t>Monsieur Coulon demande à être rappelé pour revoir son contrat, car il souhaite ajouter l'option optique dans sa mutuelle.</t>
  </si>
  <si>
    <t>Standard-Maeva</t>
  </si>
  <si>
    <t xml:space="preserve">AI contacté l'assuré pour mettre le point sur l'ajout d'optique sur le contrat ==&gt; il va faire un devis aprs il nous envoie pour mettre en place une garantie </t>
  </si>
  <si>
    <t xml:space="preserve">Ai contacté l'assu qui m'a confirmer qu’il veut plus de contrat et il a déjà fait opposition sur le compte </t>
  </si>
  <si>
    <t>Source</t>
  </si>
  <si>
    <t>Ai contacté l'assuré pour lui proposé un contrat qui renforce les soins courants et la médecine douce mais avec un tarif raisonnable les tarifs ne sont pas avantageuses je lui explique je lui propose de garder ce qu'elle a actuellement avant de lui envoyé un mail en lui proposant de voir une des deux formules ,</t>
  </si>
  <si>
    <t>Résumé</t>
  </si>
  <si>
    <t>Date Rappel</t>
  </si>
  <si>
    <t>Creneau</t>
  </si>
  <si>
    <t>Fiche N°1591725 - Pascale CHETOT GAMBETTI</t>
  </si>
  <si>
    <t>Fiche N°1560288 - RAHAJALISOA RASOLONDRAIBE</t>
  </si>
  <si>
    <t>-</t>
  </si>
  <si>
    <t xml:space="preserve">Appel entrant de Mr Gomes l'époux il insiste sur l'envoie par courrier ,pour la dame je l'ai eu le vendredi pour l'informer de l'augmentation tarifaire </t>
  </si>
  <si>
    <t>AI contacté l'assuré pour mettre le point sur l'ajout d'optique sur le contrat ==&gt; il va faire un devis aprés il nous envoie pour mettre en place une garantie</t>
  </si>
  <si>
    <t xml:space="preserve">Ai contacté l'assuré ==&gt; Injoignable </t>
  </si>
  <si>
    <t>Ai contacté l'assuré mais elle préfére qu'n en parle demain matin</t>
  </si>
  <si>
    <t>Liliane MENTREL</t>
  </si>
  <si>
    <t>Sylvie CHANSIGAUD</t>
  </si>
  <si>
    <t>Didier LE PARC</t>
  </si>
  <si>
    <t>DANIELLE SCANTLEBURY</t>
  </si>
  <si>
    <t>Somah françoise SIBAHI</t>
  </si>
  <si>
    <t>Micheline TARTAG</t>
  </si>
  <si>
    <t>Michel MANGIN</t>
  </si>
  <si>
    <t>Serge COULON</t>
  </si>
  <si>
    <t>Pascale CHETOT GAMBETTI</t>
  </si>
  <si>
    <t>RAHAJALISOA RASOLONDRAIBE</t>
  </si>
  <si>
    <t xml:space="preserve">Assuré injoignable </t>
  </si>
  <si>
    <t xml:space="preserve">Assuré injoignable je luiu laisse un message sur répondeur </t>
  </si>
  <si>
    <t>Assuré injoignable  ==&gt; C2 176,65 €</t>
  </si>
  <si>
    <t>Dossier pris en main par Gad</t>
  </si>
  <si>
    <t xml:space="preserve">Assuré m’a contacté pour renforcé le dentaire ==je lui envoie la proposition en attandant le devis de 6,500 € comme retour </t>
  </si>
  <si>
    <t>Fiche N°1629776 - Emma PLANQUES</t>
  </si>
  <si>
    <t>La cliente signale une augmentation à partir du mois de janvier. Elle a fait la demande directement à April, qui a répondu qu'ils prenaient en charge sa demande. Merci de la contacter sur le fixe au 04 93 79 72 44, car son portable ne fonctionne pas. @Nora</t>
  </si>
  <si>
    <t xml:space="preserve"> Assu conteste l'augmentation = de 134.50 € à 154.50€ , je lui propose un nouveau contrat == elle part chez son médecin et je la rappel après.</t>
  </si>
  <si>
    <t>Fiche N°1604976 - MARIAMA MAECHA SOILIHI</t>
  </si>
  <si>
    <t>Standard-Anais</t>
  </si>
  <si>
    <t xml:space="preserve">la cliente souhaite savoir si l'option optique est incluse dans son contrat. ==&gt; mail envoyé 
</t>
  </si>
  <si>
    <t xml:space="preserve">Assu injoignable </t>
  </si>
  <si>
    <t xml:space="preserve">Assu me confirme qu ila aura sa consultation le mercredi prochain je programme un rappel le jeudi matin pour qu'il m'envoie le devis </t>
  </si>
  <si>
    <t>Fiche N°575358 - Catherine EVRARD</t>
  </si>
  <si>
    <t xml:space="preserve">Assurée aura des besoin =&gt;
Dentier =&gt; elle compte pas le changer mtn 
Optique ==&gt;après le devis 
Auditif ==&gt; elle s'est appareillée récemment  
je lui envoie 3 propositions et je prévois un rappel après une semaine </t>
  </si>
  <si>
    <t>Nouveau</t>
  </si>
  <si>
    <t>Existant</t>
  </si>
  <si>
    <t>Proposition</t>
  </si>
  <si>
    <t>reclamation2@ncassurances.com</t>
  </si>
  <si>
    <t>Touba@Darousalam@</t>
  </si>
  <si>
    <t>R0_Spoco4e55</t>
  </si>
  <si>
    <t>Dày-;Su#ER58</t>
  </si>
  <si>
    <t>Emma PLANQUES</t>
  </si>
  <si>
    <t>Catherine EVRARD</t>
  </si>
  <si>
    <t xml:space="preserve">Assuré va voir l'ophtalmologue ce matin ; je lui programme un rappel cette après midi  pour nous faire parvenir le devis </t>
  </si>
  <si>
    <t>J'ai contacté la compagnie pour négocier une réduction de la cotisation mensuelle, mais on m'a dit que l'assurée avait déjà contacté la compagnie plusieurs fois et qu'on lui avait informé qu'une réduction ne pouvait pas être appliquée.</t>
  </si>
  <si>
    <t xml:space="preserve">Ai contacté l'assuré pour l'informer que la compagnie a refusé l'application d'une baisse mais la cliente me dit qu'elle a reçu un courrier de la compagnie avec une promesse de baisse a son faveur </t>
  </si>
  <si>
    <t xml:space="preserve">Assuré injoignable je prévois un rappel plus tard </t>
  </si>
  <si>
    <t xml:space="preserve">Ai contacté l'assuré mais elle me dit que le contrat qu'elle a actuellement rembourse mieux et souhaite du coup la maintenir .
</t>
  </si>
  <si>
    <t xml:space="preserve">Assu injoignable je lui prévois un rappel cette après midi </t>
  </si>
  <si>
    <t>Ai contacté l'assuré =&gt; le devis nous sera transmis demain comme rebond au mail envoyé</t>
  </si>
  <si>
    <t>Fiche N°1670368 - Pascal GIRARDI</t>
  </si>
  <si>
    <t>Standard-Nora</t>
  </si>
  <si>
    <t>Bonjour,
Souhaite faire le point sur sa mutuelle, des renseignements sur sa garantie REVOIR LA GARANTIE@REMY</t>
  </si>
  <si>
    <t>Ai l'assurée au bout de file et je lui propose de faire un devis dentaire afin de nous permettre de cerner le besoin, un mail avec des formules a titre comparatif est envoyé dans ce sens.</t>
  </si>
  <si>
    <r>
      <t xml:space="preserve">0644 677 871     </t>
    </r>
    <r>
      <rPr>
        <sz val="22"/>
        <color rgb="FFFF0000"/>
        <rFont val="Aptos Narrow"/>
        <scheme val="minor"/>
      </rPr>
      <t xml:space="preserve"> 09 88 99 48 01</t>
    </r>
  </si>
  <si>
    <t>Pascal GIRARDI</t>
  </si>
  <si>
    <t>Nom</t>
  </si>
  <si>
    <t>Ref</t>
  </si>
  <si>
    <t>clôt</t>
  </si>
  <si>
    <t>06 78 18 26 20</t>
  </si>
  <si>
    <t>Fiche N°1507309 - Christian RECURT</t>
  </si>
  <si>
    <t xml:space="preserve">Assu appel pour renforcer le dentaire , il prévois un Détartrage ==&gt;et s'informe sur la  Radiologie = je programme un rappel pour le lendemain après l envoie d'un comparatif </t>
  </si>
  <si>
    <t>Christian RECURT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</si>
</sst>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F800]dddd\,\ mmmm\ dd\,\ yyyy"/>
    <numFmt numFmtId="165" formatCode="0#&quot; &quot;##&quot; &quot;##&quot; &quot;##&quot; &quot;##"/>
    <numFmt numFmtId="166" formatCode="h:mm;@"/>
    <numFmt numFmtId="167" formatCode="d/m/yy\ h:mm;@"/>
    <numFmt numFmtId="168" formatCode="[$-40C]d\ mmmm\ yyyy;@"/>
    <numFmt numFmtId="169" formatCode="dddd\-mmmm\-yyyy"/>
    <numFmt numFmtId="170" formatCode="dddd\ dd\ mmm\-yy"/>
  </numFmts>
  <fonts count="22" x14ac:knownFonts="1">
    <font>
      <sz val="11"/>
      <color theme="1"/>
      <name val="Aptos Narrow"/>
      <family val="2"/>
      <scheme val="minor"/>
    </font>
    <font>
      <b/>
      <sz val="11"/>
      <color theme="1"/>
      <name val="Aptos Narrow"/>
      <family val="2"/>
      <scheme val="minor"/>
    </font>
    <font>
      <b/>
      <sz val="12"/>
      <color theme="1"/>
      <name val="Aptos Narrow"/>
      <family val="2"/>
      <scheme val="minor"/>
    </font>
    <font>
      <b/>
      <sz val="11"/>
      <color theme="3" tint="-0.499984740745262"/>
      <name val="Aptos Narrow"/>
      <family val="2"/>
      <scheme val="minor"/>
    </font>
    <font>
      <sz val="11"/>
      <color rgb="FFFF0000"/>
      <name val="Aptos Narrow"/>
      <family val="2"/>
      <scheme val="minor"/>
    </font>
    <font>
      <b/>
      <sz val="11"/>
      <color theme="1"/>
      <name val="Aptos Narrow"/>
      <scheme val="minor"/>
    </font>
    <font>
      <sz val="22"/>
      <color rgb="FFFF0000"/>
      <name val="Aptos Narrow"/>
      <scheme val="minor"/>
    </font>
    <font>
      <b/>
      <sz val="11"/>
      <color theme="4" tint="-0.499984740745262"/>
      <name val="Aptos Narrow"/>
      <scheme val="minor"/>
    </font>
    <font>
      <sz val="11"/>
      <color theme="0"/>
      <name val="Aptos Narrow"/>
      <family val="2"/>
      <scheme val="minor"/>
    </font>
    <font>
      <b/>
      <sz val="11"/>
      <color rgb="FFFF0000"/>
      <name val="Aptos Narrow"/>
      <scheme val="minor"/>
    </font>
    <font>
      <b/>
      <sz val="11"/>
      <color theme="3" tint="0.249977111117893"/>
      <name val="Aptos Narrow"/>
      <family val="2"/>
      <scheme val="minor"/>
    </font>
    <font>
      <b/>
      <sz val="11"/>
      <color theme="2"/>
      <name val="Aptos Narrow"/>
      <family val="2"/>
      <scheme val="minor"/>
    </font>
    <font>
      <b/>
      <sz val="11"/>
      <color rgb="FFCC0000"/>
      <name val="Aptos Narrow"/>
      <family val="2"/>
      <scheme val="minor"/>
    </font>
    <font>
      <sz val="11"/>
      <name val="Aptos Narrow"/>
      <family val="2"/>
      <scheme val="minor"/>
    </font>
    <font>
      <b/>
      <sz val="10"/>
      <color theme="2"/>
      <name val="Aptos Narrow"/>
      <family val="2"/>
      <scheme val="minor"/>
    </font>
    <font>
      <b/>
      <sz val="10"/>
      <color theme="0"/>
      <name val="Aptos Narrow"/>
      <family val="2"/>
      <scheme val="minor"/>
    </font>
    <font>
      <b/>
      <sz val="9"/>
      <color theme="0"/>
      <name val="Aptos Narrow"/>
      <family val="2"/>
      <scheme val="minor"/>
    </font>
    <font>
      <b/>
      <i/>
      <sz val="16"/>
      <color theme="0"/>
      <name val="Aptos Narrow"/>
      <family val="2"/>
      <scheme val="minor"/>
    </font>
    <font>
      <b/>
      <sz val="8"/>
      <color theme="3" tint="-0.499984740745262"/>
      <name val="Aptos Narrow"/>
      <family val="2"/>
      <scheme val="minor"/>
    </font>
    <font>
      <b/>
      <sz val="11"/>
      <color theme="0" tint="-0.499984740745262"/>
      <name val="Aptos Narrow"/>
      <scheme val="minor"/>
    </font>
    <font>
      <b/>
      <sz val="12"/>
      <name val="Aptos Narrow"/>
      <family val="2"/>
      <scheme val="minor"/>
    </font>
    <font>
      <b/>
      <sz val="16"/>
      <name val="Aptos Narrow"/>
      <family val="2"/>
      <scheme val="minor"/>
    </font>
  </fonts>
  <fills count="8">
    <fill>
      <patternFill patternType="none"/>
    </fill>
    <fill>
      <patternFill patternType="gray125"/>
    </fill>
    <fill>
      <patternFill patternType="solid">
        <fgColor theme="0" tint="-0.34998626667073579"/>
        <bgColor indexed="64"/>
      </patternFill>
    </fill>
    <fill>
      <patternFill patternType="solid">
        <fgColor theme="2" tint="-9.9978637043366805E-2"/>
        <bgColor indexed="64"/>
      </patternFill>
    </fill>
    <fill>
      <patternFill patternType="solid">
        <fgColor theme="0" tint="-0.14999847407452621"/>
        <bgColor indexed="64"/>
      </patternFill>
    </fill>
    <fill>
      <patternFill patternType="solid">
        <fgColor theme="3" tint="0.749992370372631"/>
        <bgColor indexed="64"/>
      </patternFill>
    </fill>
    <fill>
      <patternFill patternType="solid">
        <fgColor theme="1" tint="4.9989318521683403E-2"/>
        <bgColor indexed="64"/>
      </patternFill>
    </fill>
    <fill>
      <patternFill patternType="solid">
        <fgColor theme="9" tint="0.59999389629810485"/>
        <bgColor indexed="64"/>
      </patternFill>
    </fill>
  </fills>
  <borders count="12">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double">
        <color theme="0" tint="-0.34998626667073579"/>
      </top>
      <bottom style="thin">
        <color theme="0" tint="-0.34998626667073579"/>
      </bottom>
      <diagonal/>
    </border>
  </borders>
  <cellStyleXfs count="1">
    <xf numFmtId="0" fontId="0" fillId="0" borderId="0"/>
  </cellStyleXfs>
  <cellXfs count="91">
    <xf numFmtId="0" fontId="0" fillId="0" borderId="0" xfId="0"/>
    <xf numFmtId="0" fontId="0" fillId="0" borderId="0" xfId="0" applyAlignment="1">
      <alignment horizontal="center"/>
    </xf>
    <xf numFmtId="0" fontId="2" fillId="0" borderId="0" xfId="0" applyFont="1" applyAlignment="1">
      <alignment horizontal="center"/>
    </xf>
    <xf numFmtId="0" fontId="3" fillId="2" borderId="0" xfId="0" applyFont="1" applyFill="1" applyAlignment="1">
      <alignment horizontal="center"/>
    </xf>
    <xf numFmtId="0" fontId="0" fillId="3" borderId="0" xfId="0" applyFill="1" applyAlignment="1">
      <alignment horizontal="center"/>
    </xf>
    <xf numFmtId="0" fontId="5" fillId="0" borderId="0" xfId="0" applyFont="1" applyAlignment="1">
      <alignment horizontal="center"/>
    </xf>
    <xf numFmtId="0" fontId="0" fillId="0" borderId="0" xfId="0" applyAlignment="1">
      <alignment wrapText="1"/>
    </xf>
    <xf numFmtId="0" fontId="0" fillId="4" borderId="0" xfId="0" applyFill="1"/>
    <xf numFmtId="0" fontId="0" fillId="2" borderId="0" xfId="0" applyFill="1" applyAlignment="1">
      <alignment horizontal="center" vertical="center" wrapText="1"/>
    </xf>
    <xf numFmtId="0" fontId="4" fillId="0" borderId="0" xfId="0" applyFont="1"/>
    <xf numFmtId="20" fontId="0" fillId="0" borderId="0" xfId="0" applyNumberFormat="1" applyAlignment="1">
      <alignment wrapText="1"/>
    </xf>
    <xf numFmtId="0" fontId="0" fillId="4" borderId="1" xfId="0" applyFill="1" applyBorder="1" applyAlignment="1">
      <alignment horizontal="center" vertical="center" wrapText="1"/>
    </xf>
    <xf numFmtId="0" fontId="7" fillId="4" borderId="0" xfId="0" applyFont="1" applyFill="1" applyAlignment="1">
      <alignment wrapText="1"/>
    </xf>
    <xf numFmtId="0" fontId="7" fillId="4" borderId="0" xfId="0" applyFont="1" applyFill="1"/>
    <xf numFmtId="0" fontId="0" fillId="2" borderId="0" xfId="0" applyFill="1" applyAlignment="1">
      <alignment wrapText="1"/>
    </xf>
    <xf numFmtId="0" fontId="9" fillId="0" borderId="0" xfId="0" applyFont="1" applyAlignment="1">
      <alignment horizontal="center"/>
    </xf>
    <xf numFmtId="0" fontId="1" fillId="0" borderId="0" xfId="0" applyFont="1" applyAlignment="1">
      <alignment horizontal="center" vertical="center"/>
    </xf>
    <xf numFmtId="0" fontId="0" fillId="0" borderId="0" xfId="0" applyAlignment="1">
      <alignment horizontal="center" vertical="center"/>
    </xf>
    <xf numFmtId="164" fontId="11" fillId="6" borderId="0" xfId="0" applyNumberFormat="1" applyFont="1" applyFill="1" applyAlignment="1">
      <alignment horizontal="center"/>
    </xf>
    <xf numFmtId="0" fontId="8" fillId="0" borderId="0" xfId="0" applyFont="1" applyAlignment="1">
      <alignment horizontal="center"/>
    </xf>
    <xf numFmtId="167" fontId="0" fillId="0" borderId="0" xfId="0" applyNumberFormat="1" applyAlignment="1">
      <alignment horizontal="center"/>
    </xf>
    <xf numFmtId="165" fontId="0" fillId="0" borderId="0" xfId="0" applyNumberFormat="1" applyAlignment="1">
      <alignment horizontal="center"/>
    </xf>
    <xf numFmtId="168" fontId="0" fillId="0" borderId="0" xfId="0" applyNumberFormat="1" applyAlignment="1">
      <alignment horizontal="center"/>
    </xf>
    <xf numFmtId="166" fontId="0" fillId="0" borderId="0" xfId="0" applyNumberFormat="1" applyAlignment="1">
      <alignment horizontal="center"/>
    </xf>
    <xf numFmtId="0" fontId="13" fillId="0" borderId="0" xfId="0" applyFont="1" applyAlignment="1">
      <alignment horizontal="center"/>
    </xf>
    <xf numFmtId="168" fontId="0" fillId="0" borderId="0" xfId="0" applyNumberFormat="1" applyAlignment="1">
      <alignment horizontal="center" vertical="center"/>
    </xf>
    <xf numFmtId="20" fontId="0" fillId="0" borderId="0" xfId="0" applyNumberFormat="1"/>
    <xf numFmtId="166" fontId="1" fillId="5" borderId="8" xfId="0" applyNumberFormat="1" applyFont="1" applyFill="1" applyBorder="1" applyAlignment="1">
      <alignment horizontal="center"/>
    </xf>
    <xf numFmtId="0" fontId="2" fillId="5" borderId="10" xfId="0" applyFont="1" applyFill="1" applyBorder="1" applyAlignment="1">
      <alignment horizontal="center" vertical="center"/>
    </xf>
    <xf numFmtId="165" fontId="1" fillId="5" borderId="10" xfId="0" applyNumberFormat="1" applyFont="1" applyFill="1" applyBorder="1" applyAlignment="1">
      <alignment horizontal="center" vertical="center"/>
    </xf>
    <xf numFmtId="0" fontId="1" fillId="5" borderId="10" xfId="0" applyFont="1" applyFill="1" applyBorder="1" applyAlignment="1">
      <alignment horizontal="center" vertical="center"/>
    </xf>
    <xf numFmtId="0" fontId="10" fillId="0" borderId="0" xfId="0" applyFont="1" applyAlignment="1">
      <alignment horizontal="center"/>
    </xf>
    <xf numFmtId="0" fontId="0" fillId="0" borderId="0" xfId="0" applyAlignment="1">
      <alignment horizontal="left"/>
    </xf>
    <xf numFmtId="14" fontId="8" fillId="0" borderId="0" xfId="0" applyNumberFormat="1" applyFont="1" applyAlignment="1">
      <alignment horizontal="center"/>
    </xf>
    <xf numFmtId="0" fontId="12" fillId="3" borderId="0" xfId="0" applyFont="1" applyFill="1" applyAlignment="1">
      <alignment horizontal="center" vertical="top"/>
    </xf>
    <xf numFmtId="165" fontId="14" fillId="6" borderId="0" xfId="0" applyNumberFormat="1" applyFont="1" applyFill="1" applyAlignment="1">
      <alignment horizontal="center"/>
    </xf>
    <xf numFmtId="0" fontId="15" fillId="6" borderId="0" xfId="0" applyFont="1" applyFill="1" applyAlignment="1">
      <alignment horizontal="center" vertical="center" wrapText="1"/>
    </xf>
    <xf numFmtId="164" fontId="15" fillId="6" borderId="0" xfId="0" applyNumberFormat="1" applyFont="1" applyFill="1" applyAlignment="1">
      <alignment horizontal="center" vertical="center"/>
    </xf>
    <xf numFmtId="0" fontId="16" fillId="6" borderId="0" xfId="0" applyFont="1" applyFill="1" applyAlignment="1">
      <alignment horizontal="center" vertical="center" wrapText="1"/>
    </xf>
    <xf numFmtId="0" fontId="1" fillId="0" borderId="0" xfId="0" applyFont="1" applyAlignment="1">
      <alignment horizontal="center"/>
    </xf>
    <xf numFmtId="164" fontId="17" fillId="0" borderId="0" xfId="0" applyNumberFormat="1" applyFont="1" applyAlignment="1">
      <alignment horizontal="center"/>
    </xf>
    <xf numFmtId="167" fontId="0" fillId="0" borderId="0" xfId="0" applyNumberFormat="1" applyAlignment="1">
      <alignment horizontal="center" vertical="center"/>
    </xf>
    <xf numFmtId="166" fontId="0" fillId="0" borderId="0" xfId="0" applyNumberFormat="1" applyAlignment="1">
      <alignment horizontal="center" vertical="center"/>
    </xf>
    <xf numFmtId="0" fontId="2" fillId="0" borderId="0" xfId="0" applyFont="1" applyAlignment="1">
      <alignment horizontal="center" vertical="center"/>
    </xf>
    <xf numFmtId="14" fontId="3" fillId="2" borderId="0" xfId="0" applyNumberFormat="1" applyFont="1" applyFill="1" applyAlignment="1">
      <alignment horizontal="center" vertical="center"/>
    </xf>
    <xf numFmtId="167" fontId="3" fillId="2" borderId="0" xfId="0" applyNumberFormat="1" applyFont="1" applyFill="1" applyAlignment="1">
      <alignment horizontal="center" vertical="center"/>
    </xf>
    <xf numFmtId="0" fontId="10" fillId="0" borderId="0" xfId="0" applyFont="1" applyAlignment="1">
      <alignment horizontal="center" vertical="center"/>
    </xf>
    <xf numFmtId="0" fontId="10" fillId="4" borderId="0" xfId="0" applyFont="1" applyFill="1" applyAlignment="1">
      <alignment horizontal="center" vertical="center"/>
    </xf>
    <xf numFmtId="0" fontId="18" fillId="2" borderId="0" xfId="0" applyFont="1" applyFill="1" applyAlignment="1">
      <alignment horizontal="center" vertical="center"/>
    </xf>
    <xf numFmtId="0" fontId="10" fillId="0" borderId="9" xfId="0" applyFont="1" applyBorder="1" applyAlignment="1">
      <alignment horizontal="right" vertical="center"/>
    </xf>
    <xf numFmtId="0" fontId="0" fillId="0" borderId="0" xfId="0" applyAlignment="1">
      <alignment horizontal="right" vertical="center"/>
    </xf>
    <xf numFmtId="0" fontId="10" fillId="0" borderId="0" xfId="0" applyFont="1" applyAlignment="1">
      <alignment horizontal="right" vertical="center"/>
    </xf>
    <xf numFmtId="164" fontId="0" fillId="0" borderId="0" xfId="0" applyNumberFormat="1" applyAlignment="1">
      <alignment horizontal="center" vertical="center"/>
    </xf>
    <xf numFmtId="0" fontId="5" fillId="0" borderId="0" xfId="0" applyFont="1" applyAlignment="1">
      <alignment horizontal="center" vertical="center"/>
    </xf>
    <xf numFmtId="0" fontId="2" fillId="5" borderId="10" xfId="0" applyFont="1" applyFill="1" applyBorder="1" applyAlignment="1">
      <alignment horizontal="center" vertical="center" wrapText="1"/>
    </xf>
    <xf numFmtId="164" fontId="14" fillId="6" borderId="0" xfId="0" applyNumberFormat="1" applyFont="1" applyFill="1" applyAlignment="1">
      <alignment horizontal="center" vertical="center" wrapText="1"/>
    </xf>
    <xf numFmtId="0" fontId="0" fillId="0" borderId="0" xfId="0" applyAlignment="1">
      <alignment horizontal="center" wrapText="1"/>
    </xf>
    <xf numFmtId="164" fontId="11" fillId="6" borderId="0" xfId="0" applyNumberFormat="1" applyFont="1" applyFill="1" applyAlignment="1">
      <alignment horizontal="center" vertical="center" wrapText="1"/>
    </xf>
    <xf numFmtId="0" fontId="2" fillId="7" borderId="0" xfId="0" applyFont="1" applyFill="1" applyAlignment="1">
      <alignment horizontal="center" vertical="center"/>
    </xf>
    <xf numFmtId="0" fontId="10" fillId="7" borderId="0" xfId="0" applyFont="1" applyFill="1" applyAlignment="1">
      <alignment horizontal="center"/>
    </xf>
    <xf numFmtId="0" fontId="0" fillId="7" borderId="0" xfId="0" applyFill="1" applyAlignment="1">
      <alignment horizontal="center"/>
    </xf>
    <xf numFmtId="0" fontId="13" fillId="7" borderId="0" xfId="0" applyFont="1" applyFill="1" applyAlignment="1">
      <alignment horizontal="center"/>
    </xf>
    <xf numFmtId="164" fontId="0" fillId="7" borderId="0" xfId="0" applyNumberFormat="1" applyFill="1" applyAlignment="1">
      <alignment horizontal="center" vertical="center"/>
    </xf>
    <xf numFmtId="0" fontId="0" fillId="7" borderId="0" xfId="0" applyFill="1" applyAlignment="1">
      <alignment horizontal="center" vertical="center"/>
    </xf>
    <xf numFmtId="165" fontId="0" fillId="7" borderId="0" xfId="0" applyNumberFormat="1" applyFill="1" applyAlignment="1">
      <alignment horizontal="center"/>
    </xf>
    <xf numFmtId="168" fontId="0" fillId="7" borderId="0" xfId="0" applyNumberFormat="1" applyFill="1" applyAlignment="1">
      <alignment horizontal="center"/>
    </xf>
    <xf numFmtId="166" fontId="0" fillId="7" borderId="0" xfId="0" applyNumberFormat="1" applyFill="1" applyAlignment="1">
      <alignment horizontal="center"/>
    </xf>
    <xf numFmtId="0" fontId="2" fillId="5" borderId="0" xfId="0" applyFont="1" applyFill="1" applyAlignment="1">
      <alignment horizontal="center" vertical="center"/>
    </xf>
    <xf numFmtId="0" fontId="10" fillId="5" borderId="0" xfId="0" applyFont="1" applyFill="1" applyAlignment="1">
      <alignment horizontal="center"/>
    </xf>
    <xf numFmtId="0" fontId="0" fillId="5" borderId="0" xfId="0" applyFill="1" applyAlignment="1">
      <alignment horizontal="center"/>
    </xf>
    <xf numFmtId="0" fontId="13" fillId="5" borderId="0" xfId="0" applyFont="1" applyFill="1" applyAlignment="1">
      <alignment horizontal="center"/>
    </xf>
    <xf numFmtId="164" fontId="0" fillId="5" borderId="0" xfId="0" applyNumberFormat="1" applyFill="1" applyAlignment="1">
      <alignment horizontal="center" vertical="center"/>
    </xf>
    <xf numFmtId="0" fontId="0" fillId="5" borderId="0" xfId="0" applyFill="1" applyAlignment="1">
      <alignment horizontal="center" vertical="center"/>
    </xf>
    <xf numFmtId="165" fontId="0" fillId="5" borderId="0" xfId="0" applyNumberFormat="1" applyFill="1" applyAlignment="1">
      <alignment horizontal="center"/>
    </xf>
    <xf numFmtId="168" fontId="0" fillId="5" borderId="0" xfId="0" applyNumberFormat="1" applyFill="1" applyAlignment="1">
      <alignment horizontal="center"/>
    </xf>
    <xf numFmtId="166" fontId="0" fillId="5" borderId="0" xfId="0" applyNumberFormat="1" applyFill="1" applyAlignment="1">
      <alignment horizontal="center"/>
    </xf>
    <xf numFmtId="169" fontId="0" fillId="0" borderId="0" xfId="0" applyNumberFormat="1" applyAlignment="1">
      <alignment horizontal="center" vertical="center"/>
    </xf>
    <xf numFmtId="169" fontId="0" fillId="0" borderId="0" xfId="0" applyNumberFormat="1" applyAlignment="1">
      <alignment horizontal="center"/>
    </xf>
    <xf numFmtId="0" fontId="21" fillId="0" borderId="11" xfId="0" applyFont="1" applyBorder="1" applyAlignment="1">
      <alignment horizontal="left" vertical="center"/>
    </xf>
    <xf numFmtId="0" fontId="20" fillId="0" borderId="11" xfId="0" applyFont="1" applyBorder="1" applyAlignment="1">
      <alignment horizontal="center" vertical="center"/>
    </xf>
    <xf numFmtId="170" fontId="1" fillId="5" borderId="6" xfId="0" applyNumberFormat="1" applyFont="1" applyFill="1" applyBorder="1" applyAlignment="1">
      <alignment horizontal="center" vertical="center"/>
    </xf>
    <xf numFmtId="0" fontId="0" fillId="5" borderId="2" xfId="0" applyFill="1" applyBorder="1" applyAlignment="1">
      <alignment horizontal="center" vertical="center"/>
    </xf>
    <xf numFmtId="0" fontId="0" fillId="5" borderId="3" xfId="0" applyFill="1" applyBorder="1" applyAlignment="1">
      <alignment horizontal="center" vertical="center"/>
    </xf>
    <xf numFmtId="0" fontId="0" fillId="5" borderId="4" xfId="0" applyFill="1" applyBorder="1" applyAlignment="1">
      <alignment horizontal="center" vertical="center"/>
    </xf>
    <xf numFmtId="0" fontId="19" fillId="5" borderId="0" xfId="0" applyFont="1" applyFill="1" applyAlignment="1">
      <alignment horizontal="center"/>
    </xf>
    <xf numFmtId="0" fontId="10" fillId="0" borderId="5" xfId="0" applyFont="1" applyBorder="1" applyAlignment="1">
      <alignment horizontal="right" vertical="center"/>
    </xf>
    <xf numFmtId="0" fontId="10" fillId="0" borderId="7" xfId="0" applyFont="1" applyBorder="1" applyAlignment="1">
      <alignment horizontal="right" vertical="center"/>
    </xf>
    <xf numFmtId="0" fontId="21" fillId="0" borderId="11" xfId="0" applyFont="1" applyBorder="1" applyAlignment="1">
      <alignment horizontal="center" vertical="center"/>
    </xf>
    <xf numFmtId="0" fontId="0" fillId="0" borderId="0" xfId="0" applyAlignment="1">
      <alignment horizontal="left" vertical="center"/>
    </xf>
    <xf numFmtId="22" fontId="0" fillId="0" borderId="0" xfId="0" applyNumberFormat="1" applyAlignment="1">
      <alignment horizontal="center" vertical="center"/>
    </xf>
    <xf numFmtId="22" fontId="0" fillId="0" borderId="0" xfId="0" applyNumberFormat="1" applyAlignment="1">
      <alignment horizontal="center"/>
    </xf>
  </cellXfs>
  <cellStyles count="1">
    <cellStyle name="Normal" xfId="0" builtinId="0"/>
  </cellStyles>
  <dxfs count="8">
    <dxf>
      <font>
        <color rgb="FF9C0006"/>
      </font>
      <fill>
        <patternFill>
          <bgColor rgb="FFFFC7CE"/>
        </patternFill>
      </fill>
    </dxf>
    <dxf>
      <font>
        <color theme="1" tint="4.9989318521683403E-2"/>
      </font>
      <fill>
        <patternFill>
          <bgColor theme="1" tint="4.9989318521683403E-2"/>
        </patternFill>
      </fill>
    </dxf>
    <dxf>
      <fill>
        <patternFill>
          <bgColor theme="1" tint="0.14996795556505021"/>
        </patternFill>
      </fill>
    </dxf>
    <dxf>
      <font>
        <color theme="1" tint="0.14996795556505021"/>
      </font>
      <fill>
        <patternFill>
          <bgColor theme="1" tint="0.14996795556505021"/>
        </patternFill>
      </fill>
    </dxf>
    <dxf>
      <fill>
        <patternFill>
          <bgColor theme="1" tint="0.14996795556505021"/>
        </patternFill>
      </fill>
    </dxf>
    <dxf>
      <font>
        <color theme="1" tint="4.9989318521683403E-2"/>
      </font>
      <fill>
        <patternFill>
          <bgColor theme="1" tint="4.9989318521683403E-2"/>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5050"/>
      <color rgb="FFCC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2</xdr:col>
      <xdr:colOff>76200</xdr:colOff>
      <xdr:row>1</xdr:row>
      <xdr:rowOff>57150</xdr:rowOff>
    </xdr:from>
    <xdr:to>
      <xdr:col>3</xdr:col>
      <xdr:colOff>771525</xdr:colOff>
      <xdr:row>2</xdr:row>
      <xdr:rowOff>152400</xdr:rowOff>
    </xdr:to>
    <xdr:sp macro="[0]!console" textlink="">
      <xdr:nvSpPr>
        <xdr:cNvPr id="2" name="Rectangle : coins arrondis 1">
          <a:extLst>
            <a:ext uri="{FF2B5EF4-FFF2-40B4-BE49-F238E27FC236}">
              <a16:creationId xmlns:a16="http://schemas.microsoft.com/office/drawing/2014/main" id="{083D7A5C-FAF8-3DF9-8203-AD610568F50B}"/>
            </a:ext>
          </a:extLst>
        </xdr:cNvPr>
        <xdr:cNvSpPr/>
      </xdr:nvSpPr>
      <xdr:spPr>
        <a:xfrm>
          <a:off x="304800" y="257175"/>
          <a:ext cx="1562100" cy="295275"/>
        </a:xfrm>
        <a:prstGeom prst="roundRect">
          <a:avLst/>
        </a:prstGeom>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ctr"/>
          <a:r>
            <a:rPr lang="fr-FR" sz="1200" b="1">
              <a:solidFill>
                <a:schemeClr val="bg2"/>
              </a:solidFill>
            </a:rPr>
            <a:t>Console</a:t>
          </a:r>
        </a:p>
      </xdr:txBody>
    </xdr:sp>
    <xdr:clientData/>
  </xdr:twoCellAnchor>
  <xdr:twoCellAnchor>
    <xdr:from>
      <xdr:col>4</xdr:col>
      <xdr:colOff>344579</xdr:colOff>
      <xdr:row>21</xdr:row>
      <xdr:rowOff>114299</xdr:rowOff>
    </xdr:from>
    <xdr:to>
      <xdr:col>4</xdr:col>
      <xdr:colOff>3268755</xdr:colOff>
      <xdr:row>23</xdr:row>
      <xdr:rowOff>66674</xdr:rowOff>
    </xdr:to>
    <xdr:sp macro="[0]!CopierLigneVersAutreFeuille" textlink="">
      <xdr:nvSpPr>
        <xdr:cNvPr id="3" name="Rectangle à coins arrondis 2">
          <a:extLst>
            <a:ext uri="{FF2B5EF4-FFF2-40B4-BE49-F238E27FC236}">
              <a16:creationId xmlns:a16="http://schemas.microsoft.com/office/drawing/2014/main" id="{00000000-0008-0000-0000-000003000000}"/>
            </a:ext>
          </a:extLst>
        </xdr:cNvPr>
        <xdr:cNvSpPr/>
      </xdr:nvSpPr>
      <xdr:spPr>
        <a:xfrm>
          <a:off x="1711697" y="5291417"/>
          <a:ext cx="2924176" cy="310963"/>
        </a:xfrm>
        <a:prstGeom prst="roundRect">
          <a:avLst/>
        </a:prstGeom>
      </xdr:spPr>
      <xdr:style>
        <a:lnRef idx="3">
          <a:schemeClr val="lt1"/>
        </a:lnRef>
        <a:fillRef idx="1">
          <a:schemeClr val="dk1"/>
        </a:fillRef>
        <a:effectRef idx="1">
          <a:schemeClr val="dk1"/>
        </a:effectRef>
        <a:fontRef idx="minor">
          <a:schemeClr val="lt1"/>
        </a:fontRef>
      </xdr:style>
      <xdr:txBody>
        <a:bodyPr rtlCol="0" anchor="ctr"/>
        <a:lstStyle/>
        <a:p>
          <a:pPr algn="ctr"/>
          <a:r>
            <a:rPr lang="fr-FR" sz="1200" b="1"/>
            <a:t>Enregistrer</a:t>
          </a:r>
        </a:p>
      </xdr:txBody>
    </xdr:sp>
    <xdr:clientData/>
  </xdr:twoCellAnchor>
  <xdr:twoCellAnchor>
    <xdr:from>
      <xdr:col>5</xdr:col>
      <xdr:colOff>0</xdr:colOff>
      <xdr:row>21</xdr:row>
      <xdr:rowOff>142874</xdr:rowOff>
    </xdr:from>
    <xdr:to>
      <xdr:col>5</xdr:col>
      <xdr:colOff>0</xdr:colOff>
      <xdr:row>23</xdr:row>
      <xdr:rowOff>95249</xdr:rowOff>
    </xdr:to>
    <xdr:sp macro="[0]!Cons" textlink="">
      <xdr:nvSpPr>
        <xdr:cNvPr id="4" name="Rectangle à coins arrondis 3">
          <a:extLst>
            <a:ext uri="{FF2B5EF4-FFF2-40B4-BE49-F238E27FC236}">
              <a16:creationId xmlns:a16="http://schemas.microsoft.com/office/drawing/2014/main" id="{00000000-0008-0000-0000-000004000000}"/>
            </a:ext>
          </a:extLst>
        </xdr:cNvPr>
        <xdr:cNvSpPr/>
      </xdr:nvSpPr>
      <xdr:spPr>
        <a:xfrm>
          <a:off x="3276600" y="4419599"/>
          <a:ext cx="0" cy="314325"/>
        </a:xfrm>
        <a:prstGeom prst="round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fr-FR" sz="1100"/>
            <a:t>Annuler</a:t>
          </a:r>
        </a:p>
      </xdr:txBody>
    </xdr:sp>
    <xdr:clientData/>
  </xdr:twoCellAnchor>
  <xdr:twoCellAnchor>
    <xdr:from>
      <xdr:col>5</xdr:col>
      <xdr:colOff>104775</xdr:colOff>
      <xdr:row>6</xdr:row>
      <xdr:rowOff>9524</xdr:rowOff>
    </xdr:from>
    <xdr:to>
      <xdr:col>5</xdr:col>
      <xdr:colOff>342900</xdr:colOff>
      <xdr:row>7</xdr:row>
      <xdr:rowOff>9524</xdr:rowOff>
    </xdr:to>
    <xdr:sp macro="[0]!Ref_Dossier" textlink="">
      <xdr:nvSpPr>
        <xdr:cNvPr id="5" name="Rectangle à coins arrondis 4">
          <a:extLst>
            <a:ext uri="{FF2B5EF4-FFF2-40B4-BE49-F238E27FC236}">
              <a16:creationId xmlns:a16="http://schemas.microsoft.com/office/drawing/2014/main" id="{00000000-0008-0000-0000-000005000000}"/>
            </a:ext>
          </a:extLst>
        </xdr:cNvPr>
        <xdr:cNvSpPr/>
      </xdr:nvSpPr>
      <xdr:spPr>
        <a:xfrm>
          <a:off x="5153025" y="1104899"/>
          <a:ext cx="238125" cy="200025"/>
        </a:xfrm>
        <a:prstGeom prst="roundRect">
          <a:avLst/>
        </a:prstGeom>
      </xdr:spPr>
      <xdr:style>
        <a:lnRef idx="1">
          <a:schemeClr val="dk1"/>
        </a:lnRef>
        <a:fillRef idx="3">
          <a:schemeClr val="dk1"/>
        </a:fillRef>
        <a:effectRef idx="2">
          <a:schemeClr val="dk1"/>
        </a:effectRef>
        <a:fontRef idx="minor">
          <a:schemeClr val="lt1"/>
        </a:fontRef>
      </xdr:style>
      <xdr:txBody>
        <a:bodyPr rtlCol="0" anchor="ctr"/>
        <a:lstStyle/>
        <a:p>
          <a:pPr algn="ctr"/>
          <a:endParaRPr lang="fr-FR" sz="1100"/>
        </a:p>
      </xdr:txBody>
    </xdr:sp>
    <xdr:clientData/>
  </xdr:twoCellAnchor>
  <xdr:twoCellAnchor>
    <xdr:from>
      <xdr:col>5</xdr:col>
      <xdr:colOff>95250</xdr:colOff>
      <xdr:row>12</xdr:row>
      <xdr:rowOff>19051</xdr:rowOff>
    </xdr:from>
    <xdr:to>
      <xdr:col>5</xdr:col>
      <xdr:colOff>333375</xdr:colOff>
      <xdr:row>12</xdr:row>
      <xdr:rowOff>247651</xdr:rowOff>
    </xdr:to>
    <xdr:sp macro="[0]!Num_Tel" textlink="">
      <xdr:nvSpPr>
        <xdr:cNvPr id="6" name="Rectangle à coins arrondis 5">
          <a:extLst>
            <a:ext uri="{FF2B5EF4-FFF2-40B4-BE49-F238E27FC236}">
              <a16:creationId xmlns:a16="http://schemas.microsoft.com/office/drawing/2014/main" id="{00000000-0008-0000-0000-000006000000}"/>
            </a:ext>
          </a:extLst>
        </xdr:cNvPr>
        <xdr:cNvSpPr/>
      </xdr:nvSpPr>
      <xdr:spPr>
        <a:xfrm>
          <a:off x="5305425" y="1809751"/>
          <a:ext cx="238125" cy="228600"/>
        </a:xfrm>
        <a:prstGeom prst="roundRect">
          <a:avLst/>
        </a:prstGeom>
      </xdr:spPr>
      <xdr:style>
        <a:lnRef idx="1">
          <a:schemeClr val="dk1"/>
        </a:lnRef>
        <a:fillRef idx="3">
          <a:schemeClr val="dk1"/>
        </a:fillRef>
        <a:effectRef idx="2">
          <a:schemeClr val="dk1"/>
        </a:effectRef>
        <a:fontRef idx="minor">
          <a:schemeClr val="lt1"/>
        </a:fontRef>
      </xdr:style>
      <xdr:txBody>
        <a:bodyPr rtlCol="0" anchor="ctr"/>
        <a:lstStyle/>
        <a:p>
          <a:pPr algn="ctr"/>
          <a:endParaRPr lang="fr-FR" sz="1100"/>
        </a:p>
      </xdr:txBody>
    </xdr:sp>
    <xdr:clientData/>
  </xdr:twoCellAnchor>
  <xdr:twoCellAnchor>
    <xdr:from>
      <xdr:col>0</xdr:col>
      <xdr:colOff>9525</xdr:colOff>
      <xdr:row>1</xdr:row>
      <xdr:rowOff>95250</xdr:rowOff>
    </xdr:from>
    <xdr:to>
      <xdr:col>2</xdr:col>
      <xdr:colOff>66674</xdr:colOff>
      <xdr:row>2</xdr:row>
      <xdr:rowOff>123825</xdr:rowOff>
    </xdr:to>
    <xdr:sp macro="[0]!vider" textlink="">
      <xdr:nvSpPr>
        <xdr:cNvPr id="7" name="Rectangle à coins arrondis 4">
          <a:extLst>
            <a:ext uri="{FF2B5EF4-FFF2-40B4-BE49-F238E27FC236}">
              <a16:creationId xmlns:a16="http://schemas.microsoft.com/office/drawing/2014/main" id="{D54F4864-5CB5-42AD-B768-44D23CA77EDF}"/>
            </a:ext>
          </a:extLst>
        </xdr:cNvPr>
        <xdr:cNvSpPr/>
      </xdr:nvSpPr>
      <xdr:spPr>
        <a:xfrm>
          <a:off x="9525" y="200025"/>
          <a:ext cx="228599" cy="219075"/>
        </a:xfrm>
        <a:prstGeom prst="roundRect">
          <a:avLst/>
        </a:prstGeom>
      </xdr:spPr>
      <xdr:style>
        <a:lnRef idx="1">
          <a:schemeClr val="dk1"/>
        </a:lnRef>
        <a:fillRef idx="2">
          <a:schemeClr val="dk1"/>
        </a:fillRef>
        <a:effectRef idx="1">
          <a:schemeClr val="dk1"/>
        </a:effectRef>
        <a:fontRef idx="minor">
          <a:schemeClr val="dk1"/>
        </a:fontRef>
      </xdr:style>
      <xdr:txBody>
        <a:bodyPr rtlCol="0" anchor="ctr"/>
        <a:lstStyle/>
        <a:p>
          <a:pPr algn="ctr"/>
          <a:endParaRPr lang="fr-FR"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168088</xdr:colOff>
      <xdr:row>1</xdr:row>
      <xdr:rowOff>78441</xdr:rowOff>
    </xdr:from>
    <xdr:to>
      <xdr:col>2</xdr:col>
      <xdr:colOff>1008529</xdr:colOff>
      <xdr:row>4</xdr:row>
      <xdr:rowOff>0</xdr:rowOff>
    </xdr:to>
    <xdr:sp macro="[0]!Cons" textlink="">
      <xdr:nvSpPr>
        <xdr:cNvPr id="2" name="Rectangle 1">
          <a:extLst>
            <a:ext uri="{FF2B5EF4-FFF2-40B4-BE49-F238E27FC236}">
              <a16:creationId xmlns:a16="http://schemas.microsoft.com/office/drawing/2014/main" id="{1A04C8EB-76DF-F766-0C82-21CDAD61B3A8}"/>
            </a:ext>
          </a:extLst>
        </xdr:cNvPr>
        <xdr:cNvSpPr/>
      </xdr:nvSpPr>
      <xdr:spPr>
        <a:xfrm>
          <a:off x="1692088" y="268941"/>
          <a:ext cx="840441" cy="493059"/>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4</xdr:col>
      <xdr:colOff>0</xdr:colOff>
      <xdr:row>1</xdr:row>
      <xdr:rowOff>0</xdr:rowOff>
    </xdr:from>
    <xdr:to>
      <xdr:col>5</xdr:col>
      <xdr:colOff>149679</xdr:colOff>
      <xdr:row>3</xdr:row>
      <xdr:rowOff>149678</xdr:rowOff>
    </xdr:to>
    <xdr:sp macro="[0]!Rappel" textlink="">
      <xdr:nvSpPr>
        <xdr:cNvPr id="3" name="Rectangle à coins arrondis 2">
          <a:extLst>
            <a:ext uri="{FF2B5EF4-FFF2-40B4-BE49-F238E27FC236}">
              <a16:creationId xmlns:a16="http://schemas.microsoft.com/office/drawing/2014/main" id="{00000000-0008-0000-0200-000003000000}"/>
            </a:ext>
          </a:extLst>
        </xdr:cNvPr>
        <xdr:cNvSpPr/>
      </xdr:nvSpPr>
      <xdr:spPr>
        <a:xfrm>
          <a:off x="6014357" y="176893"/>
          <a:ext cx="1292679" cy="50346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fr-FR" sz="1100"/>
        </a:p>
      </xdr:txBody>
    </xdr:sp>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tabColor theme="1" tint="4.9989318521683403E-2"/>
  </sheetPr>
  <dimension ref="D1:Y142"/>
  <sheetViews>
    <sheetView showGridLines="0" zoomScale="85" zoomScaleNormal="85" workbookViewId="0">
      <selection activeCell="H20" sqref="H20"/>
    </sheetView>
  </sheetViews>
  <sheetFormatPr baseColWidth="10" defaultColWidth="11.42578125" defaultRowHeight="15.75" x14ac:dyDescent="0.25"/>
  <cols>
    <col min="1" max="3" width="1.140625" style="1" customWidth="1"/>
    <col min="4" max="4" width="14.42578125" style="43" customWidth="1"/>
    <col min="5" max="5" width="48.42578125" style="2" customWidth="1"/>
    <col min="6" max="6" width="7.7109375" style="2" customWidth="1"/>
    <col min="7" max="7" width="19.85546875" style="1" bestFit="1" customWidth="1"/>
    <col min="8" max="8" width="66.7109375" style="1" customWidth="1"/>
    <col min="9" max="9" width="14.28515625" style="1" bestFit="1" customWidth="1"/>
    <col min="10" max="10" width="16.28515625" style="1" bestFit="1" customWidth="1"/>
    <col min="11" max="11" width="19.42578125" style="1" customWidth="1"/>
    <col min="12" max="16" width="11.42578125" style="1"/>
    <col min="17" max="17" width="19.85546875" style="1" bestFit="1" customWidth="1"/>
    <col min="18" max="16384" width="11.42578125" style="1"/>
  </cols>
  <sheetData>
    <row r="1" spans="4:25" ht="8.25" customHeight="1" x14ac:dyDescent="0.35">
      <c r="D1" s="17"/>
      <c r="E1" s="1"/>
      <c r="F1" s="1"/>
      <c r="G1" s="33">
        <f ca="1">TODAY()</f>
        <v>45729</v>
      </c>
      <c r="H1" s="40">
        <f ca="1">TODAY()</f>
        <v>45729</v>
      </c>
      <c r="R1" s="26">
        <v>0.375</v>
      </c>
      <c r="S1"/>
      <c r="T1" s="3" t="s">
        <v>213</v>
      </c>
      <c r="U1" s="3" t="s">
        <v>211</v>
      </c>
      <c r="V1" s="3" t="s">
        <v>7</v>
      </c>
      <c r="W1" s="3" t="s">
        <v>6</v>
      </c>
      <c r="X1"/>
      <c r="Y1">
        <v>0</v>
      </c>
    </row>
    <row r="2" spans="4:25" ht="15" x14ac:dyDescent="0.25">
      <c r="D2" s="17"/>
      <c r="E2" s="1"/>
      <c r="F2" s="1"/>
      <c r="G2" s="5">
        <f ca="1">COUNTIFS(DataBase!B:B,TODAY(),DataBase!I:I,"Appel")</f>
        <v>0</v>
      </c>
      <c r="R2" s="26">
        <v>0.39583333333333331</v>
      </c>
      <c r="S2"/>
      <c r="T2" t="s">
        <v>11</v>
      </c>
      <c r="U2" t="s">
        <v>180</v>
      </c>
      <c r="V2" t="s">
        <v>13</v>
      </c>
      <c r="W2" t="s">
        <v>189</v>
      </c>
      <c r="X2"/>
      <c r="Y2">
        <v>1</v>
      </c>
    </row>
    <row r="3" spans="4:25" ht="15" x14ac:dyDescent="0.25">
      <c r="D3" s="17"/>
      <c r="E3" s="15" t="e">
        <f>IF(E7&lt;&gt;"",RIGHT(E7, LEN(E7) - FIND(" - ", E7) - 2),"")</f>
        <v>#VALUE!</v>
      </c>
      <c r="F3" s="39" t="e">
        <f>IF(E7&lt;&gt;"", LEFT(RIGHT(E7, LEN(E7) - FIND("N°", E7) - 1), FIND(" ", RIGHT(E7, LEN(E7) - FIND("N°", E7) - 1) &amp; " ") - 1), "")</f>
        <v>#VALUE!</v>
      </c>
      <c r="R3" s="26">
        <v>0.41666666666666702</v>
      </c>
      <c r="S3"/>
      <c r="T3" t="s">
        <v>14</v>
      </c>
      <c r="U3" t="s">
        <v>200</v>
      </c>
      <c r="V3" t="s">
        <v>177</v>
      </c>
      <c r="W3" t="s">
        <v>190</v>
      </c>
      <c r="X3"/>
      <c r="Y3">
        <v>2</v>
      </c>
    </row>
    <row r="4" spans="4:25" ht="6.75" customHeight="1" x14ac:dyDescent="0.25">
      <c r="D4" s="17"/>
      <c r="E4" s="1"/>
      <c r="F4" s="1"/>
      <c r="R4" s="26">
        <v>0.4375</v>
      </c>
      <c r="S4"/>
      <c r="T4" t="s">
        <v>28</v>
      </c>
      <c r="U4" t="s">
        <v>181</v>
      </c>
      <c r="V4" t="s">
        <v>250</v>
      </c>
      <c r="W4" t="s">
        <v>193</v>
      </c>
      <c r="X4"/>
      <c r="Y4">
        <v>3</v>
      </c>
    </row>
    <row r="5" spans="4:25" ht="15" x14ac:dyDescent="0.25">
      <c r="D5" s="17"/>
      <c r="E5" s="1"/>
      <c r="F5" s="1"/>
      <c r="R5" s="26">
        <v>0.45833333333333298</v>
      </c>
      <c r="S5"/>
      <c r="T5" t="s">
        <v>20</v>
      </c>
      <c r="U5" t="s">
        <v>174</v>
      </c>
      <c r="V5" t="s">
        <v>14</v>
      </c>
      <c r="W5"/>
      <c r="X5"/>
      <c r="Y5">
        <v>4</v>
      </c>
    </row>
    <row r="6" spans="4:25" thickBot="1" x14ac:dyDescent="0.3">
      <c r="D6" s="17"/>
      <c r="E6" s="1"/>
      <c r="F6" s="1"/>
      <c r="R6" s="26">
        <v>0.47916666666666702</v>
      </c>
      <c r="S6"/>
      <c r="T6" t="s">
        <v>191</v>
      </c>
      <c r="U6" t="s">
        <v>199</v>
      </c>
      <c r="V6"/>
      <c r="W6"/>
      <c r="X6"/>
      <c r="Y6">
        <v>5</v>
      </c>
    </row>
    <row r="7" spans="4:25" ht="17.25" thickTop="1" thickBot="1" x14ac:dyDescent="0.3">
      <c r="D7" s="49" t="s">
        <v>1</v>
      </c>
      <c r="E7" s="28">
        <v>150209</v>
      </c>
      <c r="F7" s="1"/>
      <c r="G7" s="34" t="s">
        <v>203</v>
      </c>
      <c r="H7" s="79" t="s">
        <v>8</v>
      </c>
      <c r="I7" s="79" t="s">
        <v>213</v>
      </c>
      <c r="J7" s="79" t="s">
        <v>0</v>
      </c>
      <c r="K7" s="79" t="s">
        <v>3</v>
      </c>
      <c r="R7" s="26">
        <v>0.5</v>
      </c>
      <c r="S7"/>
      <c r="T7"/>
      <c r="U7" t="s">
        <v>208</v>
      </c>
      <c r="W7"/>
      <c r="X7"/>
      <c r="Y7">
        <v>6</v>
      </c>
    </row>
    <row r="8" spans="4:25" ht="38.25" customHeight="1" thickBot="1" x14ac:dyDescent="0.3">
      <c r="D8" s="50"/>
      <c r="E8" s="16" t="str">
        <f>IFERROR(IF(E7&lt;&gt;"",VLOOKUP(E7,DataBase!F:G,2,0),"-"),"Nouveau")</f>
        <v>Nouveau</v>
      </c>
      <c r="F8" s="1"/>
      <c r="H8" s="38" t="str">
        <f t="array" ref="H8">IFERROR(INDEX(DataBase!$M$10:$M$998, MATCH(1, (DataBase!$C$10:$C$998=$F$3) * (DataBase!$J$10:$J$998="Rappel"), 0)),"-")</f>
        <v>-</v>
      </c>
      <c r="I8" s="36" t="str">
        <f t="array" ref="I8">IFERROR(INDEX(DataBase!$J$10:$J$998, MATCH(1, (DataBase!$C$10:$C$998=$F$3) * (DataBase!$J$10:$J$998="Rappel"), 0)),"-")</f>
        <v>-</v>
      </c>
      <c r="J8" s="37" t="str">
        <f t="array" ref="J8">IFERROR(INDEX(DataBase!B10:B998, MATCH(1, (DataBase!C10:C998=$F$3) * (DataBase!J10:J998="Rappel"), 0)),"-")</f>
        <v>-</v>
      </c>
      <c r="K8" s="36" t="str">
        <f t="array" ref="K8">IFERROR(INDEX(DataBase!A10:A998, MATCH(1, (DataBase!C10:C998=$F$3) * (DataBase!J10:J998="Rappel"), 0)),"-")</f>
        <v>-</v>
      </c>
      <c r="R8" s="26">
        <v>0.52083333333333304</v>
      </c>
      <c r="S8"/>
      <c r="T8"/>
      <c r="U8" t="s">
        <v>242</v>
      </c>
      <c r="V8"/>
      <c r="W8"/>
      <c r="X8"/>
      <c r="Y8"/>
    </row>
    <row r="9" spans="4:25" thickBot="1" x14ac:dyDescent="0.3">
      <c r="D9" s="49" t="s">
        <v>198</v>
      </c>
      <c r="E9" s="30"/>
      <c r="F9" s="1"/>
      <c r="G9" s="34" t="s">
        <v>205</v>
      </c>
      <c r="H9" s="17"/>
      <c r="R9" s="26">
        <v>0.54166666666666696</v>
      </c>
      <c r="S9"/>
      <c r="T9"/>
      <c r="U9" t="s">
        <v>265</v>
      </c>
      <c r="V9"/>
      <c r="W9"/>
      <c r="X9"/>
      <c r="Y9"/>
    </row>
    <row r="10" spans="4:25" ht="17.25" thickTop="1" thickBot="1" x14ac:dyDescent="0.3">
      <c r="D10" s="50"/>
      <c r="E10" s="16"/>
      <c r="F10" s="1"/>
      <c r="G10" s="79" t="s">
        <v>0</v>
      </c>
      <c r="H10" s="79" t="s">
        <v>213</v>
      </c>
      <c r="I10" s="79" t="s">
        <v>6</v>
      </c>
      <c r="J10" s="79" t="s">
        <v>7</v>
      </c>
      <c r="K10" s="79" t="s">
        <v>3</v>
      </c>
      <c r="R10" s="26">
        <v>0.5625</v>
      </c>
      <c r="S10"/>
      <c r="T10"/>
      <c r="U10"/>
      <c r="V10"/>
      <c r="W10"/>
      <c r="X10"/>
      <c r="Y10"/>
    </row>
    <row r="11" spans="4:25" ht="36.75" customHeight="1" thickBot="1" x14ac:dyDescent="0.3">
      <c r="D11" s="49" t="s">
        <v>32</v>
      </c>
      <c r="E11" s="28"/>
      <c r="F11" s="1"/>
      <c r="G11" s="18" t="str">
        <f t="array" ref="G11">IFERROR(INDEX(DataBase!$E$10:$E$1995,SMALL(IF($F$3=DataBase!$C$10:$C$1995,ROW(DataBase!$B$10:$B$1995)-MIN(ROW(DataBase!$B$10))+1,""),ROWS(DataBase!$10:10))),"-")</f>
        <v>-</v>
      </c>
      <c r="H11" s="55" t="str">
        <f t="array" ref="H11">IFERROR(INDEX(DataBase!$M$10:$M$1995,SMALL(IF($F$3=DataBase!$C$10:$C$1995,ROW(DataBase!$B$10:$B$1995)-MIN(ROW(DataBase!$B$10))+1,""),ROWS(DataBase!$10:10))),"")</f>
        <v/>
      </c>
      <c r="I11" s="18" t="str">
        <f t="array" ref="I11">IFERROR(INDEX(DataBase!$H$10:$H$1995,SMALL(IF($F$3=DataBase!$C$10:$C$1995,ROW(DataBase!$B$10:$B$1995)-MIN(ROW(DataBase!$B$10))+1,""),ROWS(DataBase!$10:10))),"")</f>
        <v/>
      </c>
      <c r="J11" s="18" t="str">
        <f t="array" ref="J11">IFERROR(INDEX(DataBase!$I$10:$I$1995,SMALL(IF($F$3=DataBase!$C$10:$C$1995,ROW(DataBase!$B$10:$B$1995)-MIN(ROW(DataBase!$B$10))+1,""),ROWS(DataBase!$10:10))),"")</f>
        <v/>
      </c>
      <c r="K11" s="35" t="str">
        <f t="array" ref="K11">IFERROR(INDEX(DataBase!$A$10:$A$1995,SMALL(IF($F$3=DataBase!$C$10:$C$1995,ROW(DataBase!$B$10:$B$1995)-MIN(ROW(DataBase!$B$10))+1,""),ROWS(DataBase!$10:10))),"")</f>
        <v/>
      </c>
      <c r="R11" s="26">
        <v>0.58333333333333304</v>
      </c>
      <c r="S11"/>
      <c r="T11"/>
      <c r="U11"/>
      <c r="V11"/>
      <c r="W11"/>
      <c r="X11"/>
      <c r="Y11"/>
    </row>
    <row r="12" spans="4:25" thickBot="1" x14ac:dyDescent="0.3">
      <c r="D12" s="50"/>
      <c r="E12" s="16"/>
      <c r="F12" s="1"/>
      <c r="G12" s="18" t="str">
        <f t="array" ref="G12">IFERROR(INDEX(DataBase!$E$10:$E$1995,SMALL(IF($F$3=DataBase!$C$10:$C$1995,ROW(DataBase!$B$10:$B$1995)-MIN(ROW(DataBase!$B$10))+1,""),ROWS(DataBase!$10:11))),"")</f>
        <v/>
      </c>
      <c r="H12" s="57" t="str">
        <f t="array" ref="H12">IFERROR(INDEX(DataBase!$M$10:$M$1995,SMALL(IF($F$3=DataBase!$C$10:$C$1995,ROW(DataBase!$B$10:$B$1995)-MIN(ROW(DataBase!$B$10))+1,""),ROWS(DataBase!$10:11))),"")</f>
        <v/>
      </c>
      <c r="I12" s="18" t="str">
        <f t="array" ref="I12">IFERROR(INDEX(DataBase!$H$10:$H$1995,SMALL(IF($F$3=DataBase!$C$10:$C$1995,ROW(DataBase!$B$10:$B$1995)-MIN(ROW(DataBase!$B$10))+1,""),ROWS(DataBase!$10:11))),"")</f>
        <v/>
      </c>
      <c r="J12" s="18" t="str">
        <f t="array" ref="J12">IFERROR(INDEX(DataBase!$I$10:$I$1995,SMALL(IF($F$3=DataBase!$C$10:$C$1995,ROW(DataBase!$B$10:$B$1995)-MIN(ROW(DataBase!$B$10))+1,""),ROWS(DataBase!$10:11))),"")</f>
        <v/>
      </c>
      <c r="K12" s="35" t="str">
        <f t="array" ref="K12">IFERROR(INDEX(DataBase!$A$10:$A$1995,SMALL(IF($F$3=DataBase!$C$10:$C$1995,ROW(DataBase!$B$10:$B$1995)-MIN(ROW(DataBase!$B$10))+1,""),ROWS(DataBase!$10:11))),"")</f>
        <v/>
      </c>
      <c r="R12" s="26">
        <v>0.60416666666666596</v>
      </c>
      <c r="S12"/>
      <c r="T12"/>
      <c r="U12"/>
      <c r="V12"/>
      <c r="W12"/>
      <c r="X12"/>
      <c r="Y12"/>
    </row>
    <row r="13" spans="4:25" ht="22.5" customHeight="1" thickBot="1" x14ac:dyDescent="0.3">
      <c r="D13" s="49" t="s">
        <v>7</v>
      </c>
      <c r="E13" s="29"/>
      <c r="F13" s="1"/>
      <c r="G13" s="18" t="str">
        <f t="array" ref="G13">IFERROR(INDEX(DataBase!$E$10:$E$1995,SMALL(IF($F$3=DataBase!$C$10:$C$1995,ROW(DataBase!$B$10:$B$1995)-MIN(ROW(DataBase!$B$10))+1,""),ROWS(DataBase!$10:12))),"")</f>
        <v/>
      </c>
      <c r="H13" s="55" t="str">
        <f t="array" ref="H13">IFERROR(INDEX(DataBase!$M$10:$M$1995,SMALL(IF($F$3=DataBase!$C$10:$C$1995,ROW(DataBase!$B$10:$B$1995)-MIN(ROW(DataBase!$B$10))+1,""),ROWS(DataBase!$10:12))),"")</f>
        <v/>
      </c>
      <c r="I13" s="18" t="str">
        <f t="array" ref="I13">IFERROR(INDEX(DataBase!$H$10:$H$1995,SMALL(IF($F$3=DataBase!$C$10:$C$1995,ROW(DataBase!$B$10:$B$1995)-MIN(ROW(DataBase!$B$10))+1,""),ROWS(DataBase!$10:12))),"")</f>
        <v/>
      </c>
      <c r="J13" s="18" t="str">
        <f t="array" ref="J13">IFERROR(INDEX(DataBase!$I$10:$I$1995,SMALL(IF($F$3=DataBase!$C$10:$C$1995,ROW(DataBase!$B$10:$B$1995)-MIN(ROW(DataBase!$B$10))+1,""),ROWS(DataBase!$10:12))),"")</f>
        <v/>
      </c>
      <c r="K13" s="35" t="str">
        <f t="array" ref="K13">IFERROR(INDEX(DataBase!$A$10:$A$1995,SMALL(IF($F$3=DataBase!$C$10:$C$1995,ROW(DataBase!$B$10:$B$1995)-MIN(ROW(DataBase!$B$10))+1,""),ROWS(DataBase!$10:12))),"")</f>
        <v/>
      </c>
      <c r="R13" s="26">
        <v>0.625</v>
      </c>
      <c r="S13"/>
      <c r="T13"/>
      <c r="U13"/>
      <c r="V13"/>
      <c r="W13"/>
      <c r="X13"/>
      <c r="Y13"/>
    </row>
    <row r="14" spans="4:25" thickBot="1" x14ac:dyDescent="0.3">
      <c r="D14" s="50"/>
      <c r="E14" s="16"/>
      <c r="F14" s="1"/>
      <c r="G14" s="18" t="str">
        <f t="array" ref="G14">IFERROR(INDEX(DataBase!$E$10:$E$1995,SMALL(IF($F$3=DataBase!$C$10:$C$1995,ROW(DataBase!$B$10:$B$1995)-MIN(ROW(DataBase!$B$10))+1,""),ROWS(DataBase!$10:13))),"")</f>
        <v/>
      </c>
      <c r="H14" s="57" t="str">
        <f t="array" ref="H14">IFERROR(INDEX(DataBase!$M$10:$M$1995,SMALL(IF($F$3=DataBase!$C$10:$C$1995,ROW(DataBase!$B$10:$B$1995)-MIN(ROW(DataBase!$B$10))+1,""),ROWS(DataBase!$10:13))),"")</f>
        <v/>
      </c>
      <c r="I14" s="18" t="str">
        <f t="array" ref="I14">IFERROR(INDEX(DataBase!$H$10:$H$1995,SMALL(IF($F$3=DataBase!$C$10:$C$1995,ROW(DataBase!$B$10:$B$1995)-MIN(ROW(DataBase!$B$10))+1,""),ROWS(DataBase!$10:13))),"")</f>
        <v/>
      </c>
      <c r="J14" s="18" t="str">
        <f t="array" ref="J14">IFERROR(INDEX(DataBase!$I$10:$I$1995,SMALL(IF($F$3=DataBase!$C$10:$C$1995,ROW(DataBase!$B$10:$B$1995)-MIN(ROW(DataBase!$B$10))+1,""),ROWS(DataBase!$10:13))),"")</f>
        <v/>
      </c>
      <c r="K14" s="35" t="str">
        <f t="array" ref="K14">IFERROR(INDEX(DataBase!$A$10:$A$1995,SMALL(IF($F$3=DataBase!$C$10:$C$1995,ROW(DataBase!$B$10:$B$1995)-MIN(ROW(DataBase!$B$10))+1,""),ROWS(DataBase!$10:13))),"")</f>
        <v/>
      </c>
      <c r="R14" s="26">
        <v>0.64583333333333304</v>
      </c>
      <c r="S14"/>
      <c r="T14"/>
      <c r="U14"/>
      <c r="V14"/>
      <c r="W14"/>
      <c r="X14"/>
      <c r="Y14"/>
    </row>
    <row r="15" spans="4:25" ht="16.5" thickBot="1" x14ac:dyDescent="0.3">
      <c r="D15" s="49" t="s">
        <v>33</v>
      </c>
      <c r="E15" s="28"/>
      <c r="F15" s="84">
        <v>1</v>
      </c>
      <c r="G15" s="18" t="str">
        <f t="array" ref="G15">IFERROR(INDEX(DataBase!$E$10:$E$1995,SMALL(IF($F$3=DataBase!$C$10:$C$1995,ROW(DataBase!$B$10:$B$1995)-MIN(ROW(DataBase!$B$10))+1,""),ROWS(DataBase!$10:14))),"")</f>
        <v/>
      </c>
      <c r="H15" s="55" t="str">
        <f t="array" ref="H15">IFERROR(INDEX(DataBase!$M$10:$M$1995,SMALL(IF($F$3=DataBase!$C$10:$C$1995,ROW(DataBase!$B$10:$B$1995)-MIN(ROW(DataBase!$B$10))+1,""),ROWS(DataBase!$10:14))),"")</f>
        <v/>
      </c>
      <c r="I15" s="18" t="str">
        <f t="array" ref="I15">IFERROR(INDEX(DataBase!$H$10:$H$1995,SMALL(IF($F$3=DataBase!$C$10:$C$1995,ROW(DataBase!$B$10:$B$1995)-MIN(ROW(DataBase!$B$10))+1,""),ROWS(DataBase!$10:14))),"")</f>
        <v/>
      </c>
      <c r="J15" s="18" t="str">
        <f t="array" ref="J15">IFERROR(INDEX(DataBase!$I$10:$I$1995,SMALL(IF($F$3=DataBase!$C$10:$C$1995,ROW(DataBase!$B$10:$B$1995)-MIN(ROW(DataBase!$B$10))+1,""),ROWS(DataBase!$10:14))),"")</f>
        <v/>
      </c>
      <c r="K15" s="35" t="str">
        <f t="array" ref="K15">IFERROR(INDEX(DataBase!$A$10:$A$1995,SMALL(IF($F$3=DataBase!$C$10:$C$1995,ROW(DataBase!$B$10:$B$1995)-MIN(ROW(DataBase!$B$10))+1,""),ROWS(DataBase!$10:14))),"")</f>
        <v/>
      </c>
      <c r="R15" s="26">
        <v>0.66666666666666596</v>
      </c>
      <c r="S15"/>
      <c r="T15"/>
      <c r="U15"/>
      <c r="V15"/>
      <c r="W15"/>
      <c r="X15"/>
      <c r="Y15"/>
    </row>
    <row r="16" spans="4:25" ht="7.5" customHeight="1" thickBot="1" x14ac:dyDescent="0.3">
      <c r="D16" s="51"/>
      <c r="E16" s="16"/>
      <c r="G16" s="19"/>
      <c r="R16" s="26">
        <v>0.6875</v>
      </c>
      <c r="S16"/>
      <c r="T16"/>
      <c r="U16"/>
      <c r="V16"/>
      <c r="W16"/>
      <c r="X16"/>
      <c r="Y16"/>
    </row>
    <row r="17" spans="4:25" x14ac:dyDescent="0.25">
      <c r="D17" s="85" t="str">
        <f>IF(E15="Rappel","Date Rappel :","")</f>
        <v/>
      </c>
      <c r="E17" s="80" t="str">
        <f ca="1">IF(E15="Rappel",TODAY()+F15,"-")</f>
        <v>-</v>
      </c>
      <c r="G17" s="19"/>
      <c r="R17" s="26">
        <v>0.70833333333333304</v>
      </c>
      <c r="S17"/>
      <c r="T17"/>
      <c r="U17"/>
      <c r="V17"/>
      <c r="W17"/>
      <c r="X17"/>
      <c r="Y17"/>
    </row>
    <row r="18" spans="4:25" thickBot="1" x14ac:dyDescent="0.3">
      <c r="D18" s="86" t="str">
        <f>IF(E15="Rappel","Créneau :","")</f>
        <v/>
      </c>
      <c r="E18" s="27"/>
      <c r="F18" s="1"/>
      <c r="G18" s="19"/>
      <c r="R18" s="26">
        <v>0.72916666666666596</v>
      </c>
      <c r="S18"/>
      <c r="T18"/>
      <c r="U18"/>
      <c r="V18"/>
      <c r="W18"/>
      <c r="X18"/>
      <c r="Y18"/>
    </row>
    <row r="19" spans="4:25" ht="7.5" customHeight="1" thickBot="1" x14ac:dyDescent="0.3">
      <c r="D19" s="50"/>
      <c r="E19" s="16"/>
      <c r="F19" s="1"/>
      <c r="G19" s="19"/>
    </row>
    <row r="20" spans="4:25" ht="73.5" customHeight="1" thickBot="1" x14ac:dyDescent="0.3">
      <c r="D20" s="49" t="s">
        <v>34</v>
      </c>
      <c r="E20" s="54"/>
      <c r="F20" s="1"/>
      <c r="G20" s="19"/>
    </row>
    <row r="21" spans="4:25" thickBot="1" x14ac:dyDescent="0.3">
      <c r="D21" s="17"/>
      <c r="E21" s="17"/>
      <c r="F21" s="1"/>
    </row>
    <row r="22" spans="4:25" ht="15" x14ac:dyDescent="0.25">
      <c r="D22" s="17"/>
      <c r="E22" s="81"/>
      <c r="F22" s="1"/>
    </row>
    <row r="23" spans="4:25" ht="15" x14ac:dyDescent="0.25">
      <c r="D23" s="17"/>
      <c r="E23" s="82"/>
      <c r="F23" s="1"/>
    </row>
    <row r="24" spans="4:25" thickBot="1" x14ac:dyDescent="0.3">
      <c r="D24" s="17"/>
      <c r="E24" s="83"/>
      <c r="F24" s="1"/>
    </row>
    <row r="25" spans="4:25" ht="15" x14ac:dyDescent="0.25">
      <c r="D25" s="17"/>
      <c r="E25" s="17"/>
      <c r="F25" s="1"/>
    </row>
    <row r="26" spans="4:25" hidden="1" x14ac:dyDescent="0.25">
      <c r="D26" s="58" t="s">
        <v>248</v>
      </c>
      <c r="E26" s="17"/>
      <c r="F26" s="1"/>
    </row>
    <row r="27" spans="4:25" s="60" customFormat="1" hidden="1" x14ac:dyDescent="0.25">
      <c r="D27" s="58" t="s">
        <v>0</v>
      </c>
      <c r="E27" s="59" t="s">
        <v>1</v>
      </c>
      <c r="F27" s="59" t="s">
        <v>198</v>
      </c>
      <c r="G27" s="59" t="s">
        <v>32</v>
      </c>
      <c r="H27" s="59" t="s">
        <v>7</v>
      </c>
      <c r="I27" s="59" t="s">
        <v>33</v>
      </c>
      <c r="J27" s="60" t="s">
        <v>214</v>
      </c>
      <c r="K27" s="61" t="s">
        <v>215</v>
      </c>
      <c r="L27" s="59" t="s">
        <v>34</v>
      </c>
    </row>
    <row r="28" spans="4:25" s="60" customFormat="1" ht="15" hidden="1" x14ac:dyDescent="0.25">
      <c r="D28" s="62">
        <f ca="1">NOW()</f>
        <v>45729.040168055559</v>
      </c>
      <c r="E28" s="63">
        <v>150209</v>
      </c>
      <c r="F28" s="60" t="str">
        <f>E8</f>
        <v>Nouveau</v>
      </c>
      <c r="G28" s="60">
        <f>E11</f>
        <v>0</v>
      </c>
      <c r="H28" s="64">
        <f>E13</f>
        <v>0</v>
      </c>
      <c r="I28" s="60">
        <f>E15</f>
        <v>0</v>
      </c>
      <c r="J28" s="65" t="str">
        <f ca="1">E17</f>
        <v>-</v>
      </c>
      <c r="K28" s="66">
        <f>E18</f>
        <v>0</v>
      </c>
      <c r="L28" s="60">
        <f>E20</f>
        <v>0</v>
      </c>
    </row>
    <row r="29" spans="4:25" ht="15" hidden="1" x14ac:dyDescent="0.25">
      <c r="D29" s="17"/>
      <c r="E29" s="17"/>
      <c r="F29" s="1"/>
    </row>
    <row r="30" spans="4:25" hidden="1" x14ac:dyDescent="0.25">
      <c r="D30" s="43" t="s">
        <v>0</v>
      </c>
      <c r="E30" s="31" t="s">
        <v>1</v>
      </c>
      <c r="F30" s="31" t="s">
        <v>198</v>
      </c>
      <c r="G30" s="31" t="s">
        <v>32</v>
      </c>
      <c r="H30" s="31" t="s">
        <v>7</v>
      </c>
      <c r="I30" s="31" t="s">
        <v>33</v>
      </c>
      <c r="J30" s="1" t="s">
        <v>214</v>
      </c>
      <c r="K30" s="24" t="s">
        <v>215</v>
      </c>
      <c r="L30" s="31" t="s">
        <v>34</v>
      </c>
    </row>
    <row r="31" spans="4:25" ht="15" hidden="1" x14ac:dyDescent="0.25">
      <c r="D31" s="52">
        <f ca="1">NOW()</f>
        <v>45729.040168055559</v>
      </c>
      <c r="E31" s="17">
        <f>E7</f>
        <v>150209</v>
      </c>
      <c r="F31" s="1">
        <f>E9</f>
        <v>0</v>
      </c>
      <c r="G31" s="1">
        <f>E11</f>
        <v>0</v>
      </c>
      <c r="H31" s="21">
        <f>E13</f>
        <v>0</v>
      </c>
      <c r="I31" s="1">
        <f>E15</f>
        <v>0</v>
      </c>
      <c r="J31" s="22" t="str">
        <f ca="1">E17</f>
        <v>-</v>
      </c>
      <c r="K31" s="23">
        <f>E18</f>
        <v>0</v>
      </c>
      <c r="L31" s="1">
        <f>E20</f>
        <v>0</v>
      </c>
    </row>
    <row r="32" spans="4:25" ht="15" hidden="1" x14ac:dyDescent="0.25">
      <c r="D32" s="17"/>
      <c r="E32" s="17"/>
      <c r="F32" s="1"/>
    </row>
    <row r="33" spans="4:12" hidden="1" x14ac:dyDescent="0.25">
      <c r="D33" s="67" t="s">
        <v>249</v>
      </c>
      <c r="E33" s="17"/>
      <c r="F33" s="1"/>
    </row>
    <row r="34" spans="4:12" s="69" customFormat="1" hidden="1" x14ac:dyDescent="0.25">
      <c r="D34" s="67" t="s">
        <v>0</v>
      </c>
      <c r="E34" s="68" t="s">
        <v>1</v>
      </c>
      <c r="F34" s="68" t="s">
        <v>198</v>
      </c>
      <c r="G34" s="68" t="s">
        <v>32</v>
      </c>
      <c r="H34" s="68" t="s">
        <v>7</v>
      </c>
      <c r="I34" s="68" t="s">
        <v>33</v>
      </c>
      <c r="J34" s="69" t="s">
        <v>214</v>
      </c>
      <c r="K34" s="70" t="s">
        <v>215</v>
      </c>
      <c r="L34" s="68" t="s">
        <v>34</v>
      </c>
    </row>
    <row r="35" spans="4:12" s="69" customFormat="1" ht="15" hidden="1" x14ac:dyDescent="0.25">
      <c r="D35" s="71">
        <f ca="1">NOW()</f>
        <v>45729.040168055559</v>
      </c>
      <c r="E35" s="72">
        <f>E14</f>
        <v>0</v>
      </c>
      <c r="F35" s="69">
        <f>E15</f>
        <v>0</v>
      </c>
      <c r="G35" s="69">
        <f>E18</f>
        <v>0</v>
      </c>
      <c r="H35" s="73">
        <f>E20</f>
        <v>0</v>
      </c>
      <c r="I35" s="69">
        <f>E22</f>
        <v>0</v>
      </c>
      <c r="J35" s="74">
        <f>E24</f>
        <v>0</v>
      </c>
      <c r="K35" s="75">
        <f>E25</f>
        <v>0</v>
      </c>
      <c r="L35" s="69" t="str">
        <f>E27</f>
        <v>Ref :</v>
      </c>
    </row>
    <row r="37" spans="4:12" s="5" customFormat="1" ht="46.5" customHeight="1" x14ac:dyDescent="0.25">
      <c r="D37" s="53"/>
    </row>
    <row r="38" spans="4:12" s="5" customFormat="1" ht="46.5" customHeight="1" x14ac:dyDescent="0.25">
      <c r="D38" s="53"/>
    </row>
    <row r="39" spans="4:12" s="5" customFormat="1" ht="46.5" customHeight="1" x14ac:dyDescent="0.25">
      <c r="D39" s="53"/>
    </row>
    <row r="40" spans="4:12" s="5" customFormat="1" ht="46.5" customHeight="1" x14ac:dyDescent="0.25">
      <c r="D40" s="53"/>
    </row>
    <row r="41" spans="4:12" s="5" customFormat="1" ht="46.5" customHeight="1" x14ac:dyDescent="0.25">
      <c r="D41" s="53"/>
    </row>
    <row r="42" spans="4:12" ht="15" x14ac:dyDescent="0.25">
      <c r="D42" s="17"/>
      <c r="E42" s="1"/>
      <c r="F42" s="1"/>
    </row>
    <row r="43" spans="4:12" ht="15" x14ac:dyDescent="0.25">
      <c r="D43" s="17"/>
      <c r="E43" s="1"/>
      <c r="F43" s="1"/>
    </row>
    <row r="44" spans="4:12" ht="15" x14ac:dyDescent="0.25">
      <c r="D44" s="17"/>
      <c r="E44" s="1"/>
      <c r="F44" s="1"/>
    </row>
    <row r="45" spans="4:12" ht="15" x14ac:dyDescent="0.25">
      <c r="D45" s="17"/>
      <c r="E45" s="1"/>
      <c r="F45" s="1"/>
    </row>
    <row r="46" spans="4:12" ht="15" x14ac:dyDescent="0.25">
      <c r="D46" s="17"/>
      <c r="E46" s="1"/>
      <c r="F46" s="1"/>
    </row>
    <row r="47" spans="4:12" ht="15" x14ac:dyDescent="0.25">
      <c r="D47" s="17"/>
      <c r="E47" s="1"/>
      <c r="F47" s="1"/>
    </row>
    <row r="48" spans="4:12" ht="15" x14ac:dyDescent="0.25">
      <c r="D48" s="17"/>
      <c r="E48" s="1"/>
      <c r="F48" s="1"/>
    </row>
    <row r="49" spans="4:4" s="1" customFormat="1" ht="15" x14ac:dyDescent="0.25">
      <c r="D49" s="17"/>
    </row>
    <row r="50" spans="4:4" s="1" customFormat="1" ht="15" x14ac:dyDescent="0.25">
      <c r="D50" s="17"/>
    </row>
    <row r="51" spans="4:4" s="1" customFormat="1" ht="15" x14ac:dyDescent="0.25">
      <c r="D51" s="17"/>
    </row>
    <row r="52" spans="4:4" s="1" customFormat="1" ht="15" x14ac:dyDescent="0.25">
      <c r="D52" s="17"/>
    </row>
    <row r="53" spans="4:4" s="1" customFormat="1" ht="15" x14ac:dyDescent="0.25">
      <c r="D53" s="17"/>
    </row>
    <row r="54" spans="4:4" s="1" customFormat="1" ht="15" x14ac:dyDescent="0.25">
      <c r="D54" s="17"/>
    </row>
    <row r="55" spans="4:4" s="1" customFormat="1" ht="15" x14ac:dyDescent="0.25">
      <c r="D55" s="17"/>
    </row>
    <row r="56" spans="4:4" s="1" customFormat="1" ht="15" x14ac:dyDescent="0.25">
      <c r="D56" s="17"/>
    </row>
    <row r="57" spans="4:4" s="1" customFormat="1" ht="15" x14ac:dyDescent="0.25">
      <c r="D57" s="17"/>
    </row>
    <row r="58" spans="4:4" s="1" customFormat="1" ht="15" x14ac:dyDescent="0.25">
      <c r="D58" s="17"/>
    </row>
    <row r="59" spans="4:4" s="1" customFormat="1" ht="15" x14ac:dyDescent="0.25">
      <c r="D59" s="17"/>
    </row>
    <row r="60" spans="4:4" s="1" customFormat="1" ht="15" x14ac:dyDescent="0.25">
      <c r="D60" s="17"/>
    </row>
    <row r="61" spans="4:4" s="1" customFormat="1" ht="15" x14ac:dyDescent="0.25">
      <c r="D61" s="17"/>
    </row>
    <row r="62" spans="4:4" s="1" customFormat="1" ht="15" x14ac:dyDescent="0.25">
      <c r="D62" s="17"/>
    </row>
    <row r="63" spans="4:4" s="1" customFormat="1" ht="15" x14ac:dyDescent="0.25">
      <c r="D63" s="17"/>
    </row>
    <row r="64" spans="4:4" s="1" customFormat="1" ht="15" x14ac:dyDescent="0.25">
      <c r="D64" s="17"/>
    </row>
    <row r="65" spans="4:4" s="1" customFormat="1" ht="15" x14ac:dyDescent="0.25">
      <c r="D65" s="17"/>
    </row>
    <row r="66" spans="4:4" s="1" customFormat="1" ht="15" x14ac:dyDescent="0.25">
      <c r="D66" s="17"/>
    </row>
    <row r="67" spans="4:4" s="1" customFormat="1" ht="15" x14ac:dyDescent="0.25">
      <c r="D67" s="17"/>
    </row>
    <row r="68" spans="4:4" s="1" customFormat="1" ht="15" x14ac:dyDescent="0.25">
      <c r="D68" s="17"/>
    </row>
    <row r="69" spans="4:4" s="1" customFormat="1" ht="15" x14ac:dyDescent="0.25">
      <c r="D69" s="17"/>
    </row>
    <row r="70" spans="4:4" s="1" customFormat="1" ht="15" x14ac:dyDescent="0.25">
      <c r="D70" s="17"/>
    </row>
    <row r="71" spans="4:4" s="1" customFormat="1" ht="15" x14ac:dyDescent="0.25">
      <c r="D71" s="17"/>
    </row>
    <row r="72" spans="4:4" s="1" customFormat="1" ht="15" x14ac:dyDescent="0.25">
      <c r="D72" s="17"/>
    </row>
    <row r="73" spans="4:4" s="1" customFormat="1" ht="15" x14ac:dyDescent="0.25">
      <c r="D73" s="17"/>
    </row>
    <row r="74" spans="4:4" s="1" customFormat="1" ht="15" x14ac:dyDescent="0.25">
      <c r="D74" s="17"/>
    </row>
    <row r="75" spans="4:4" s="1" customFormat="1" ht="15" x14ac:dyDescent="0.25">
      <c r="D75" s="17"/>
    </row>
    <row r="76" spans="4:4" s="1" customFormat="1" ht="15" x14ac:dyDescent="0.25">
      <c r="D76" s="17"/>
    </row>
    <row r="77" spans="4:4" s="1" customFormat="1" ht="15" x14ac:dyDescent="0.25">
      <c r="D77" s="17"/>
    </row>
    <row r="78" spans="4:4" s="1" customFormat="1" ht="15" x14ac:dyDescent="0.25">
      <c r="D78" s="17"/>
    </row>
    <row r="79" spans="4:4" s="1" customFormat="1" ht="15" x14ac:dyDescent="0.25">
      <c r="D79" s="17"/>
    </row>
    <row r="80" spans="4:4" s="1" customFormat="1" ht="15" x14ac:dyDescent="0.25">
      <c r="D80" s="17"/>
    </row>
    <row r="81" spans="4:4" s="1" customFormat="1" ht="15" x14ac:dyDescent="0.25">
      <c r="D81" s="17"/>
    </row>
    <row r="82" spans="4:4" s="1" customFormat="1" ht="15" x14ac:dyDescent="0.25">
      <c r="D82" s="17"/>
    </row>
    <row r="83" spans="4:4" s="1" customFormat="1" ht="15" x14ac:dyDescent="0.25">
      <c r="D83" s="17"/>
    </row>
    <row r="84" spans="4:4" s="1" customFormat="1" ht="15" x14ac:dyDescent="0.25">
      <c r="D84" s="17"/>
    </row>
    <row r="85" spans="4:4" s="1" customFormat="1" ht="15" x14ac:dyDescent="0.25">
      <c r="D85" s="17"/>
    </row>
    <row r="86" spans="4:4" s="1" customFormat="1" ht="15" x14ac:dyDescent="0.25">
      <c r="D86" s="17"/>
    </row>
    <row r="87" spans="4:4" s="1" customFormat="1" ht="15" x14ac:dyDescent="0.25">
      <c r="D87" s="17"/>
    </row>
    <row r="88" spans="4:4" s="1" customFormat="1" ht="15" x14ac:dyDescent="0.25">
      <c r="D88" s="17"/>
    </row>
    <row r="89" spans="4:4" s="1" customFormat="1" ht="15" x14ac:dyDescent="0.25">
      <c r="D89" s="17"/>
    </row>
    <row r="90" spans="4:4" s="1" customFormat="1" ht="15" x14ac:dyDescent="0.25">
      <c r="D90" s="17"/>
    </row>
    <row r="91" spans="4:4" s="1" customFormat="1" ht="15" x14ac:dyDescent="0.25">
      <c r="D91" s="17"/>
    </row>
    <row r="92" spans="4:4" s="1" customFormat="1" ht="15" x14ac:dyDescent="0.25">
      <c r="D92" s="17"/>
    </row>
    <row r="93" spans="4:4" s="1" customFormat="1" ht="15" x14ac:dyDescent="0.25">
      <c r="D93" s="17"/>
    </row>
    <row r="94" spans="4:4" s="1" customFormat="1" ht="15" x14ac:dyDescent="0.25">
      <c r="D94" s="17"/>
    </row>
    <row r="95" spans="4:4" s="1" customFormat="1" ht="15" x14ac:dyDescent="0.25">
      <c r="D95" s="17"/>
    </row>
    <row r="96" spans="4:4" s="1" customFormat="1" ht="15" x14ac:dyDescent="0.25">
      <c r="D96" s="17"/>
    </row>
    <row r="97" spans="4:6" ht="15" x14ac:dyDescent="0.25">
      <c r="D97" s="17"/>
      <c r="E97" s="1"/>
      <c r="F97" s="1"/>
    </row>
    <row r="98" spans="4:6" ht="15" x14ac:dyDescent="0.25">
      <c r="D98" s="17"/>
      <c r="E98" s="1"/>
      <c r="F98" s="1"/>
    </row>
    <row r="99" spans="4:6" ht="15" x14ac:dyDescent="0.25">
      <c r="D99" s="17"/>
      <c r="E99" s="1"/>
      <c r="F99" s="1"/>
    </row>
    <row r="100" spans="4:6" ht="15" x14ac:dyDescent="0.25">
      <c r="D100" s="17"/>
      <c r="E100" s="1"/>
      <c r="F100" s="1"/>
    </row>
    <row r="101" spans="4:6" ht="15" x14ac:dyDescent="0.25">
      <c r="D101" s="17"/>
      <c r="E101" s="1"/>
      <c r="F101" s="1"/>
    </row>
    <row r="102" spans="4:6" ht="15" x14ac:dyDescent="0.25">
      <c r="D102" s="17"/>
      <c r="E102" s="1"/>
      <c r="F102" s="1"/>
    </row>
    <row r="135" spans="10:16" x14ac:dyDescent="0.25">
      <c r="J135" s="4"/>
      <c r="K135" s="4"/>
      <c r="L135" s="4"/>
      <c r="M135" s="4"/>
      <c r="N135" s="4"/>
      <c r="O135" s="4"/>
      <c r="P135" s="4"/>
    </row>
    <row r="136" spans="10:16" x14ac:dyDescent="0.25">
      <c r="J136" s="4"/>
      <c r="K136" s="4"/>
      <c r="L136" s="4"/>
      <c r="M136" s="4"/>
      <c r="N136" s="4"/>
      <c r="O136" s="4"/>
      <c r="P136" s="4"/>
    </row>
    <row r="137" spans="10:16" x14ac:dyDescent="0.25">
      <c r="J137" s="4"/>
      <c r="K137" s="4"/>
      <c r="L137" s="4"/>
      <c r="M137" s="4"/>
      <c r="N137" s="4"/>
      <c r="O137" s="4"/>
      <c r="P137" s="4"/>
    </row>
    <row r="138" spans="10:16" x14ac:dyDescent="0.25">
      <c r="J138" s="4"/>
      <c r="K138" s="4"/>
      <c r="L138" s="4"/>
      <c r="M138" s="4"/>
      <c r="N138" s="4"/>
      <c r="O138" s="4"/>
      <c r="P138" s="4"/>
    </row>
    <row r="139" spans="10:16" x14ac:dyDescent="0.25">
      <c r="J139" s="4"/>
      <c r="K139" s="4"/>
      <c r="L139" s="4"/>
      <c r="M139" s="4"/>
      <c r="N139" s="4"/>
      <c r="O139" s="4"/>
      <c r="P139" s="4"/>
    </row>
    <row r="140" spans="10:16" x14ac:dyDescent="0.25">
      <c r="J140" s="4"/>
      <c r="K140" s="4"/>
      <c r="L140" s="4"/>
      <c r="M140" s="4"/>
      <c r="N140" s="4"/>
      <c r="O140" s="4"/>
      <c r="P140" s="4"/>
    </row>
    <row r="141" spans="10:16" x14ac:dyDescent="0.25">
      <c r="J141" s="4"/>
      <c r="K141" s="4"/>
      <c r="L141" s="4"/>
      <c r="M141" s="4"/>
      <c r="N141" s="4"/>
      <c r="O141" s="4"/>
      <c r="P141" s="4"/>
    </row>
    <row r="142" spans="10:16" x14ac:dyDescent="0.25">
      <c r="J142" s="4"/>
      <c r="K142" s="4"/>
      <c r="L142" s="4"/>
      <c r="M142" s="4"/>
      <c r="N142" s="4"/>
      <c r="O142" s="4"/>
      <c r="P142" s="4"/>
    </row>
  </sheetData>
  <conditionalFormatting sqref="G11 I11:J11 G13:J13 G15:J15 H11:H15">
    <cfRule type="cellIs" dxfId="5" priority="38" operator="equal">
      <formula>0</formula>
    </cfRule>
    <cfRule type="cellIs" dxfId="4" priority="39" operator="equal">
      <formula>0</formula>
    </cfRule>
  </conditionalFormatting>
  <conditionalFormatting sqref="G12:J15">
    <cfRule type="cellIs" dxfId="3" priority="36" operator="equal">
      <formula>0</formula>
    </cfRule>
    <cfRule type="cellIs" dxfId="2" priority="37" operator="equal">
      <formula>0</formula>
    </cfRule>
  </conditionalFormatting>
  <conditionalFormatting sqref="K11:K15">
    <cfRule type="cellIs" dxfId="1" priority="1" operator="equal">
      <formula>0</formula>
    </cfRule>
  </conditionalFormatting>
  <dataValidations count="5">
    <dataValidation type="list" allowBlank="1" showInputMessage="1" showErrorMessage="1" sqref="E9" xr:uid="{00000000-0002-0000-0000-000000000000}">
      <formula1>$U$2:$U$9</formula1>
    </dataValidation>
    <dataValidation type="list" allowBlank="1" showInputMessage="1" showErrorMessage="1" sqref="E11" xr:uid="{00000000-0002-0000-0000-000001000000}">
      <formula1>$W$2:$W$4</formula1>
    </dataValidation>
    <dataValidation type="list" allowBlank="1" showInputMessage="1" showErrorMessage="1" sqref="E13" xr:uid="{00000000-0002-0000-0000-000002000000}">
      <formula1>$V$2:$V$5</formula1>
    </dataValidation>
    <dataValidation type="list" allowBlank="1" showInputMessage="1" showErrorMessage="1" sqref="E15" xr:uid="{00000000-0002-0000-0000-000003000000}">
      <formula1>$T$2:$T$4</formula1>
    </dataValidation>
    <dataValidation type="list" allowBlank="1" showInputMessage="1" showErrorMessage="1" sqref="E18" xr:uid="{00000000-0002-0000-0000-000004000000}">
      <formula1>$R$1:$R$18</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000-000000000000}">
          <x14:formula1>
            <xm:f>Legend!G1:G18</xm:f>
          </x14:formula1>
          <xm:sqref>E18</xm:sqref>
        </x14:dataValidation>
        <x14:dataValidation type="list" allowBlank="1" showInputMessage="1" showErrorMessage="1" xr:uid="{00000000-0002-0000-0000-000001000000}">
          <x14:formula1>
            <xm:f>Legend!I1:I6</xm:f>
          </x14:formula1>
          <xm:sqref>E15</xm:sqref>
        </x14:dataValidation>
        <x14:dataValidation type="list" allowBlank="1" showInputMessage="1" showErrorMessage="1" xr:uid="{00000000-0002-0000-0000-000002000000}">
          <x14:formula1>
            <xm:f>Legend!K2:K4</xm:f>
          </x14:formula1>
          <xm:sqref>E13</xm:sqref>
        </x14:dataValidation>
        <x14:dataValidation type="list" allowBlank="1" showInputMessage="1" showErrorMessage="1" xr:uid="{00000000-0002-0000-0000-000003000000}">
          <x14:formula1>
            <xm:f>Legend!L1:L4</xm:f>
          </x14:formula1>
          <xm:sqref>E11</xm:sqref>
        </x14:dataValidation>
        <x14:dataValidation type="list" allowBlank="1" showInputMessage="1" showErrorMessage="1" xr:uid="{00000000-0002-0000-0000-000004000000}">
          <x14:formula1>
            <xm:f>Legend!J1:J8</xm:f>
          </x14:formula1>
          <xm:sqref>E9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B1:N18"/>
  <sheetViews>
    <sheetView zoomScale="85" zoomScaleNormal="85" workbookViewId="0">
      <pane ySplit="2" topLeftCell="A3" activePane="bottomLeft" state="frozen"/>
      <selection activeCell="B1" sqref="B1"/>
      <selection pane="bottomLeft" activeCell="B2" sqref="B2"/>
    </sheetView>
  </sheetViews>
  <sheetFormatPr baseColWidth="10" defaultRowHeight="15" x14ac:dyDescent="0.25"/>
  <cols>
    <col min="2" max="2" width="44.5703125" customWidth="1"/>
    <col min="3" max="3" width="44.42578125" style="6" customWidth="1"/>
    <col min="4" max="4" width="22.42578125" bestFit="1" customWidth="1"/>
    <col min="5" max="5" width="51.42578125" customWidth="1"/>
    <col min="12" max="12" width="12.140625" bestFit="1" customWidth="1"/>
  </cols>
  <sheetData>
    <row r="1" spans="2:14" ht="15.75" thickBot="1" x14ac:dyDescent="0.3">
      <c r="G1" s="26">
        <v>0.375</v>
      </c>
      <c r="I1" s="3" t="s">
        <v>213</v>
      </c>
      <c r="J1" s="3" t="s">
        <v>211</v>
      </c>
      <c r="K1" s="3" t="s">
        <v>7</v>
      </c>
      <c r="L1" s="3" t="s">
        <v>6</v>
      </c>
      <c r="N1">
        <v>0</v>
      </c>
    </row>
    <row r="2" spans="2:14" ht="238.5" customHeight="1" thickBot="1" x14ac:dyDescent="0.3">
      <c r="B2" s="8" t="s">
        <v>37</v>
      </c>
      <c r="C2" s="11" t="s">
        <v>35</v>
      </c>
      <c r="E2" s="11" t="s">
        <v>268</v>
      </c>
      <c r="G2" s="26">
        <v>0.39583333333333331</v>
      </c>
      <c r="I2" t="s">
        <v>11</v>
      </c>
      <c r="J2" t="s">
        <v>180</v>
      </c>
      <c r="K2" t="s">
        <v>13</v>
      </c>
      <c r="L2" t="s">
        <v>189</v>
      </c>
      <c r="N2">
        <v>1</v>
      </c>
    </row>
    <row r="3" spans="2:14" x14ac:dyDescent="0.25">
      <c r="G3" s="26">
        <v>0.41666666666666702</v>
      </c>
      <c r="I3" t="s">
        <v>14</v>
      </c>
      <c r="J3" t="s">
        <v>200</v>
      </c>
      <c r="K3" t="s">
        <v>177</v>
      </c>
      <c r="L3" t="s">
        <v>190</v>
      </c>
      <c r="N3">
        <v>2</v>
      </c>
    </row>
    <row r="4" spans="2:14" x14ac:dyDescent="0.25">
      <c r="G4" s="26">
        <v>0.4375</v>
      </c>
      <c r="I4" t="s">
        <v>28</v>
      </c>
      <c r="J4" t="s">
        <v>181</v>
      </c>
      <c r="K4" t="s">
        <v>250</v>
      </c>
      <c r="L4" t="s">
        <v>193</v>
      </c>
      <c r="N4">
        <v>3</v>
      </c>
    </row>
    <row r="5" spans="2:14" x14ac:dyDescent="0.25">
      <c r="G5" s="26">
        <v>0.45833333333333298</v>
      </c>
      <c r="I5" t="s">
        <v>20</v>
      </c>
      <c r="J5" t="s">
        <v>174</v>
      </c>
      <c r="N5">
        <v>4</v>
      </c>
    </row>
    <row r="6" spans="2:14" x14ac:dyDescent="0.25">
      <c r="B6" t="s">
        <v>251</v>
      </c>
      <c r="G6" s="26">
        <v>0.47916666666666702</v>
      </c>
      <c r="I6" t="s">
        <v>191</v>
      </c>
      <c r="J6" t="s">
        <v>199</v>
      </c>
      <c r="N6">
        <v>5</v>
      </c>
    </row>
    <row r="7" spans="2:14" x14ac:dyDescent="0.25">
      <c r="B7" t="s">
        <v>252</v>
      </c>
      <c r="G7" s="26">
        <v>0.5</v>
      </c>
      <c r="J7" t="s">
        <v>208</v>
      </c>
      <c r="N7">
        <v>6</v>
      </c>
    </row>
    <row r="8" spans="2:14" x14ac:dyDescent="0.25">
      <c r="G8" s="26">
        <v>0.52083333333333304</v>
      </c>
      <c r="J8" t="s">
        <v>242</v>
      </c>
    </row>
    <row r="9" spans="2:14" x14ac:dyDescent="0.25">
      <c r="B9" t="s">
        <v>253</v>
      </c>
      <c r="G9" s="26">
        <v>0.54166666666666696</v>
      </c>
      <c r="J9" t="s">
        <v>265</v>
      </c>
    </row>
    <row r="10" spans="2:14" x14ac:dyDescent="0.25">
      <c r="B10" t="s">
        <v>254</v>
      </c>
      <c r="G10" s="26">
        <v>0.5625</v>
      </c>
    </row>
    <row r="11" spans="2:14" x14ac:dyDescent="0.25">
      <c r="G11" s="26">
        <v>0.58333333333333304</v>
      </c>
    </row>
    <row r="12" spans="2:14" x14ac:dyDescent="0.25">
      <c r="G12" s="26">
        <v>0.60416666666666596</v>
      </c>
    </row>
    <row r="13" spans="2:14" x14ac:dyDescent="0.25">
      <c r="G13" s="26">
        <v>0.625</v>
      </c>
    </row>
    <row r="14" spans="2:14" x14ac:dyDescent="0.25">
      <c r="G14" s="26">
        <v>0.64583333333333304</v>
      </c>
    </row>
    <row r="15" spans="2:14" x14ac:dyDescent="0.25">
      <c r="G15" s="26">
        <v>0.66666666666666596</v>
      </c>
    </row>
    <row r="16" spans="2:14" x14ac:dyDescent="0.25">
      <c r="G16" s="26">
        <v>0.6875</v>
      </c>
    </row>
    <row r="17" spans="7:7" x14ac:dyDescent="0.25">
      <c r="G17" s="26">
        <v>0.70833333333333304</v>
      </c>
    </row>
    <row r="18" spans="7:7" x14ac:dyDescent="0.25">
      <c r="G18" s="26">
        <v>0.72916666666666596</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dimension ref="A1:M1626"/>
  <sheetViews>
    <sheetView tabSelected="1" zoomScale="70" zoomScaleNormal="70" workbookViewId="0">
      <pane ySplit="10" topLeftCell="A53" activePane="bottomLeft" state="frozen"/>
      <selection pane="bottomLeft" activeCell="D73" sqref="D73"/>
    </sheetView>
  </sheetViews>
  <sheetFormatPr baseColWidth="10" defaultColWidth="11.42578125" defaultRowHeight="15" x14ac:dyDescent="0.25"/>
  <cols>
    <col min="1" max="1" width="11.42578125" style="17"/>
    <col min="2" max="2" width="21.140625" style="76" bestFit="1" customWidth="1"/>
    <col min="3" max="3" width="17" style="17" bestFit="1" customWidth="1"/>
    <col min="4" max="4" width="29.42578125" style="17" customWidth="1"/>
    <col min="5" max="5" width="15" style="41" customWidth="1"/>
    <col min="6" max="6" width="52.5703125" style="17" bestFit="1" customWidth="1"/>
    <col min="7" max="7" width="17.42578125" style="17" bestFit="1" customWidth="1"/>
    <col min="8" max="8" width="17.85546875" style="17" bestFit="1" customWidth="1"/>
    <col min="9" max="9" width="13" style="17" bestFit="1" customWidth="1"/>
    <col min="10" max="10" width="11.28515625" style="17" bestFit="1" customWidth="1"/>
    <col min="11" max="11" width="18.140625" style="25" bestFit="1" customWidth="1"/>
    <col min="12" max="12" width="12.7109375" style="42" bestFit="1" customWidth="1"/>
    <col min="13" max="13" width="71.28515625" style="88" customWidth="1"/>
    <col min="14" max="19" width="11.42578125" style="17"/>
    <col min="20" max="20" width="24.140625" style="17" bestFit="1" customWidth="1"/>
    <col min="21" max="16384" width="11.42578125" style="17"/>
  </cols>
  <sheetData>
    <row r="1" spans="1:13" x14ac:dyDescent="0.25">
      <c r="K1" s="25" t="s">
        <v>273</v>
      </c>
    </row>
    <row r="9" spans="1:13" ht="16.5" thickBot="1" x14ac:dyDescent="0.3">
      <c r="E9" s="43"/>
      <c r="F9" s="46"/>
      <c r="G9" s="46"/>
      <c r="H9" s="46"/>
      <c r="I9" s="46"/>
      <c r="J9" s="46"/>
    </row>
    <row r="10" spans="1:13" ht="21.75" thickTop="1" x14ac:dyDescent="0.25">
      <c r="A10" s="87" t="s">
        <v>3</v>
      </c>
      <c r="B10" s="87" t="s">
        <v>0</v>
      </c>
      <c r="C10" s="87" t="s">
        <v>2</v>
      </c>
      <c r="D10" s="87" t="s">
        <v>4</v>
      </c>
      <c r="E10" s="87" t="s">
        <v>5</v>
      </c>
      <c r="F10" s="87" t="s">
        <v>1</v>
      </c>
      <c r="G10" s="87" t="s">
        <v>198</v>
      </c>
      <c r="H10" s="87" t="s">
        <v>32</v>
      </c>
      <c r="I10" s="87" t="s">
        <v>7</v>
      </c>
      <c r="J10" s="87" t="s">
        <v>33</v>
      </c>
      <c r="K10" s="87" t="s">
        <v>214</v>
      </c>
      <c r="L10" s="87" t="s">
        <v>215</v>
      </c>
      <c r="M10" s="78" t="s">
        <v>8</v>
      </c>
    </row>
    <row r="11" spans="1:13" s="1" customFormat="1" x14ac:dyDescent="0.25">
      <c r="A11" s="1" t="str">
        <f>IF(E11&lt;&gt;"",TEXT(E11, "hh:mm"),"-")</f>
        <v>13:46</v>
      </c>
      <c r="B11" s="77">
        <f>IF(E11&lt;&gt;"",DATE(YEAR(E11),MONTH(E11), DAY(E11)),"-")</f>
        <v>45719</v>
      </c>
      <c r="C11" s="1" t="str">
        <f>IF(F11&lt;&gt;"", LEFT(RIGHT(F11, LEN(F11) - FIND("N°", F11) - 1), FIND(" ", RIGHT(F11, LEN(F11) - FIND("N°", F11) - 1) &amp; " ") - 1), "")</f>
        <v>1574146</v>
      </c>
      <c r="D11" s="1" t="str">
        <f>IF(F11&lt;&gt;"",RIGHT(F11, LEN(F11) - FIND(" - ", F11) - 2),"")</f>
        <v>Liliane MENTREL</v>
      </c>
      <c r="E11" s="20">
        <v>45719.574097222219</v>
      </c>
      <c r="F11" s="1" t="s">
        <v>16</v>
      </c>
      <c r="G11" s="1" t="s">
        <v>208</v>
      </c>
      <c r="H11" s="1" t="s">
        <v>9</v>
      </c>
      <c r="I11" s="1" t="s">
        <v>10</v>
      </c>
      <c r="J11" s="1" t="s">
        <v>11</v>
      </c>
      <c r="K11" s="25"/>
      <c r="L11" s="23"/>
      <c r="M11" s="88"/>
    </row>
    <row r="12" spans="1:13" x14ac:dyDescent="0.25">
      <c r="A12" s="17" t="str">
        <f t="shared" ref="A12:A21" si="0">IF(E12&lt;&gt;"",TEXT(E12, "hh:mm"),"-")</f>
        <v>13:48</v>
      </c>
      <c r="B12" s="76">
        <f t="shared" ref="B12:B21" si="1">IF(E12&lt;&gt;"",DATE(YEAR(E12),MONTH(E12), DAY(E12)),"-")</f>
        <v>45719</v>
      </c>
      <c r="C12" s="17" t="str">
        <f t="shared" ref="C12:C16" si="2">IF(F12&lt;&gt;"", LEFT(RIGHT(F12, LEN(F12) - FIND("N°", F12) - 1), FIND(" ", RIGHT(F12, LEN(F12) - FIND("N°", F12) - 1) &amp; " ") - 1), "")</f>
        <v>1574146</v>
      </c>
      <c r="D12" s="17" t="str">
        <f t="shared" ref="D12:D71" si="3">IF(F12&lt;&gt;"",RIGHT(F12, LEN(F12) - FIND(" - ", F12) - 2),"")</f>
        <v>Liliane MENTREL</v>
      </c>
      <c r="E12" s="41">
        <v>45719.575498495367</v>
      </c>
      <c r="F12" s="17" t="s">
        <v>16</v>
      </c>
      <c r="G12" s="17" t="s">
        <v>199</v>
      </c>
      <c r="H12" s="17" t="s">
        <v>12</v>
      </c>
      <c r="I12" s="17" t="s">
        <v>13</v>
      </c>
      <c r="J12" s="17" t="s">
        <v>14</v>
      </c>
    </row>
    <row r="13" spans="1:13" x14ac:dyDescent="0.25">
      <c r="A13" s="17" t="str">
        <f t="shared" si="0"/>
        <v>14:31</v>
      </c>
      <c r="B13" s="76">
        <f t="shared" si="1"/>
        <v>45719</v>
      </c>
      <c r="C13" s="17" t="str">
        <f t="shared" si="2"/>
        <v>1344695</v>
      </c>
      <c r="D13" s="17" t="str">
        <f t="shared" si="3"/>
        <v>Sylvie CHANSIGAUD</v>
      </c>
      <c r="E13" s="41">
        <v>45719.604906944442</v>
      </c>
      <c r="F13" s="17" t="s">
        <v>15</v>
      </c>
      <c r="G13" s="17" t="s">
        <v>208</v>
      </c>
      <c r="H13" s="17" t="s">
        <v>12</v>
      </c>
      <c r="I13" s="17" t="s">
        <v>13</v>
      </c>
      <c r="J13" s="17" t="s">
        <v>14</v>
      </c>
    </row>
    <row r="14" spans="1:13" s="1" customFormat="1" x14ac:dyDescent="0.25">
      <c r="A14" s="1" t="str">
        <f t="shared" si="0"/>
        <v>08:01</v>
      </c>
      <c r="B14" s="77">
        <f t="shared" si="1"/>
        <v>45720</v>
      </c>
      <c r="C14" s="1" t="str">
        <f t="shared" si="2"/>
        <v>1574146</v>
      </c>
      <c r="D14" s="1" t="str">
        <f t="shared" si="3"/>
        <v>Liliane MENTREL</v>
      </c>
      <c r="E14" s="20">
        <v>45720.334602314811</v>
      </c>
      <c r="F14" s="1" t="s">
        <v>16</v>
      </c>
      <c r="G14" s="1" t="s">
        <v>218</v>
      </c>
      <c r="H14" s="1" t="s">
        <v>17</v>
      </c>
      <c r="I14" s="1" t="s">
        <v>17</v>
      </c>
      <c r="J14" s="1" t="s">
        <v>11</v>
      </c>
      <c r="K14" s="25"/>
      <c r="L14" s="23"/>
      <c r="M14" s="88" t="s">
        <v>17</v>
      </c>
    </row>
    <row r="15" spans="1:13" s="1" customFormat="1" x14ac:dyDescent="0.25">
      <c r="A15" s="1" t="str">
        <f t="shared" si="0"/>
        <v>08:46</v>
      </c>
      <c r="B15" s="77">
        <f t="shared" si="1"/>
        <v>45720</v>
      </c>
      <c r="C15" s="1" t="str">
        <f t="shared" si="2"/>
        <v>881113</v>
      </c>
      <c r="D15" s="1" t="str">
        <f t="shared" si="3"/>
        <v>Marie-pascale ARTON</v>
      </c>
      <c r="E15" s="20">
        <v>45720.36553101852</v>
      </c>
      <c r="F15" s="1" t="s">
        <v>18</v>
      </c>
      <c r="G15" s="1" t="s">
        <v>218</v>
      </c>
      <c r="H15" s="1" t="s">
        <v>19</v>
      </c>
      <c r="I15" s="1" t="s">
        <v>20</v>
      </c>
      <c r="J15" s="1" t="s">
        <v>11</v>
      </c>
      <c r="K15" s="25"/>
      <c r="L15" s="23"/>
      <c r="M15" s="88" t="s">
        <v>21</v>
      </c>
    </row>
    <row r="16" spans="1:13" s="1" customFormat="1" x14ac:dyDescent="0.25">
      <c r="A16" s="1" t="str">
        <f t="shared" si="0"/>
        <v>09:30</v>
      </c>
      <c r="B16" s="77">
        <f t="shared" si="1"/>
        <v>45720</v>
      </c>
      <c r="C16" s="1" t="str">
        <f t="shared" si="2"/>
        <v>1575397</v>
      </c>
      <c r="D16" s="1" t="str">
        <f t="shared" si="3"/>
        <v>Dominique VIGUIER</v>
      </c>
      <c r="E16" s="20">
        <v>45720.396469907406</v>
      </c>
      <c r="F16" s="1" t="s">
        <v>22</v>
      </c>
      <c r="G16" s="1" t="s">
        <v>218</v>
      </c>
      <c r="H16" s="1" t="s">
        <v>23</v>
      </c>
      <c r="I16" s="1" t="s">
        <v>20</v>
      </c>
      <c r="J16" s="1" t="s">
        <v>11</v>
      </c>
      <c r="K16" s="25"/>
      <c r="L16" s="23"/>
      <c r="M16" s="88" t="s">
        <v>21</v>
      </c>
    </row>
    <row r="17" spans="1:13" x14ac:dyDescent="0.25">
      <c r="A17" s="17" t="str">
        <f t="shared" si="0"/>
        <v>11:38</v>
      </c>
      <c r="B17" s="76">
        <f t="shared" si="1"/>
        <v>45720</v>
      </c>
      <c r="C17" s="17" t="str">
        <f>IF(F17&lt;&gt;"", LEFT(RIGHT(F17, LEN(F17) - FIND("N°", F17) - 1), FIND(" ", RIGHT(F17, LEN(F17) - FIND("N°", F17) - 1) &amp; " ") - 1), "-")</f>
        <v>314064</v>
      </c>
      <c r="D17" s="17" t="str">
        <f t="shared" si="3"/>
        <v>Didier LE PARC</v>
      </c>
      <c r="E17" s="41">
        <v>45720.485100231483</v>
      </c>
      <c r="F17" s="17" t="s">
        <v>24</v>
      </c>
      <c r="G17" s="17" t="s">
        <v>218</v>
      </c>
      <c r="H17" s="17" t="s">
        <v>25</v>
      </c>
      <c r="I17" s="17" t="s">
        <v>14</v>
      </c>
      <c r="J17" s="17" t="s">
        <v>14</v>
      </c>
      <c r="M17" s="88" t="s">
        <v>26</v>
      </c>
    </row>
    <row r="18" spans="1:13" x14ac:dyDescent="0.25">
      <c r="A18" s="17" t="str">
        <f t="shared" si="0"/>
        <v>09:25</v>
      </c>
      <c r="B18" s="76">
        <f t="shared" si="1"/>
        <v>45721</v>
      </c>
      <c r="C18" s="17" t="str">
        <f t="shared" ref="C18:C80" si="4">IF(F18&lt;&gt;"", LEFT(RIGHT(F18, LEN(F18) - FIND("N°", F18) - 1), FIND(" ", RIGHT(F18, LEN(F18) - FIND("N°", F18) - 1) &amp; " ") - 1), "-")</f>
        <v>1611218</v>
      </c>
      <c r="D18" s="17" t="str">
        <f t="shared" si="3"/>
        <v>DANIELLE SCANTLEBURY</v>
      </c>
      <c r="E18" s="41">
        <v>45721.392752893516</v>
      </c>
      <c r="F18" s="17" t="s">
        <v>27</v>
      </c>
      <c r="G18" s="17" t="s">
        <v>218</v>
      </c>
      <c r="H18" s="17" t="s">
        <v>28</v>
      </c>
      <c r="I18" s="17" t="s">
        <v>20</v>
      </c>
      <c r="J18" s="17" t="s">
        <v>14</v>
      </c>
      <c r="M18" s="88" t="s">
        <v>29</v>
      </c>
    </row>
    <row r="19" spans="1:13" x14ac:dyDescent="0.25">
      <c r="A19" s="17" t="str">
        <f t="shared" si="0"/>
        <v>15:51</v>
      </c>
      <c r="B19" s="76">
        <f t="shared" si="1"/>
        <v>45721</v>
      </c>
      <c r="C19" s="17" t="str">
        <f t="shared" si="4"/>
        <v>1611218</v>
      </c>
      <c r="D19" s="17" t="str">
        <f t="shared" si="3"/>
        <v>DANIELLE SCANTLEBURY</v>
      </c>
      <c r="E19" s="41">
        <v>45721.660718287036</v>
      </c>
      <c r="F19" s="17" t="s">
        <v>27</v>
      </c>
      <c r="G19" s="17" t="s">
        <v>30</v>
      </c>
      <c r="I19" s="17" t="s">
        <v>14</v>
      </c>
      <c r="J19" s="17" t="s">
        <v>14</v>
      </c>
      <c r="L19" s="42">
        <v>45783</v>
      </c>
      <c r="M19" s="88" t="s">
        <v>31</v>
      </c>
    </row>
    <row r="20" spans="1:13" x14ac:dyDescent="0.25">
      <c r="A20" s="17" t="str">
        <f t="shared" si="0"/>
        <v>15:51</v>
      </c>
      <c r="B20" s="76">
        <f t="shared" si="1"/>
        <v>45722</v>
      </c>
      <c r="C20" s="17" t="str">
        <f t="shared" si="4"/>
        <v>1602797</v>
      </c>
      <c r="D20" s="17" t="str">
        <f t="shared" si="3"/>
        <v>Somah françoise SIBAHI</v>
      </c>
      <c r="E20" s="41">
        <v>45722.660717592589</v>
      </c>
      <c r="F20" s="17" t="s">
        <v>173</v>
      </c>
      <c r="G20" s="17" t="s">
        <v>174</v>
      </c>
      <c r="I20" s="17" t="s">
        <v>20</v>
      </c>
      <c r="J20" s="17" t="s">
        <v>14</v>
      </c>
      <c r="M20" s="88" t="s">
        <v>175</v>
      </c>
    </row>
    <row r="21" spans="1:13" s="1" customFormat="1" x14ac:dyDescent="0.25">
      <c r="A21" s="1" t="str">
        <f t="shared" si="0"/>
        <v>09:01</v>
      </c>
      <c r="B21" s="77">
        <f t="shared" si="1"/>
        <v>45723</v>
      </c>
      <c r="C21" s="17" t="str">
        <f t="shared" si="4"/>
        <v>1602797</v>
      </c>
      <c r="D21" s="1" t="str">
        <f t="shared" si="3"/>
        <v>Somah françoise SIBAHI</v>
      </c>
      <c r="E21" s="20">
        <v>45723.37599537037</v>
      </c>
      <c r="F21" s="1" t="s">
        <v>173</v>
      </c>
      <c r="G21" s="1" t="s">
        <v>218</v>
      </c>
      <c r="K21" s="25"/>
      <c r="L21" s="23"/>
      <c r="M21" s="88"/>
    </row>
    <row r="22" spans="1:13" s="1" customFormat="1" x14ac:dyDescent="0.25">
      <c r="A22" s="1" t="str">
        <f t="shared" ref="A22:A84" si="5">IF(E22&lt;&gt;"",TEXT(E22, "hh:mm"),"-")</f>
        <v>09:16</v>
      </c>
      <c r="B22" s="77">
        <f t="shared" ref="B22:B84" si="6">IF(E22&lt;&gt;"",DATE(YEAR(E22),MONTH(E22), DAY(E22)),"-")</f>
        <v>45723</v>
      </c>
      <c r="C22" s="17" t="str">
        <f t="shared" si="4"/>
        <v>1599457</v>
      </c>
      <c r="D22" s="1" t="str">
        <f t="shared" si="3"/>
        <v>MARIA DUARTE NUNES</v>
      </c>
      <c r="E22" s="20">
        <v>45723.386412037034</v>
      </c>
      <c r="F22" s="1" t="s">
        <v>176</v>
      </c>
      <c r="G22" s="1" t="s">
        <v>218</v>
      </c>
      <c r="H22" s="1" t="s">
        <v>177</v>
      </c>
      <c r="K22" s="25"/>
      <c r="L22" s="23"/>
      <c r="M22" s="88"/>
    </row>
    <row r="23" spans="1:13" s="1" customFormat="1" x14ac:dyDescent="0.25">
      <c r="A23" s="1" t="str">
        <f t="shared" si="5"/>
        <v>13:19</v>
      </c>
      <c r="B23" s="77">
        <f t="shared" si="6"/>
        <v>45723</v>
      </c>
      <c r="C23" s="17" t="str">
        <f t="shared" si="4"/>
        <v>1703273</v>
      </c>
      <c r="D23" s="1" t="str">
        <f t="shared" si="3"/>
        <v>Christian PEYROT</v>
      </c>
      <c r="E23" s="20">
        <v>45723.555495949076</v>
      </c>
      <c r="F23" s="1" t="s">
        <v>182</v>
      </c>
      <c r="G23" s="1" t="s">
        <v>218</v>
      </c>
      <c r="H23" s="1">
        <v>0</v>
      </c>
      <c r="I23" s="1" t="s">
        <v>14</v>
      </c>
      <c r="K23" s="25"/>
      <c r="L23" s="23"/>
      <c r="M23" s="88" t="s">
        <v>183</v>
      </c>
    </row>
    <row r="24" spans="1:13" s="1" customFormat="1" x14ac:dyDescent="0.25">
      <c r="A24" s="1" t="str">
        <f t="shared" si="5"/>
        <v>13:20</v>
      </c>
      <c r="B24" s="77">
        <f t="shared" si="6"/>
        <v>45723</v>
      </c>
      <c r="C24" s="17" t="str">
        <f t="shared" si="4"/>
        <v>1703273</v>
      </c>
      <c r="D24" s="1" t="str">
        <f t="shared" si="3"/>
        <v>Christian PEYROT</v>
      </c>
      <c r="E24" s="20">
        <v>45723.555557638887</v>
      </c>
      <c r="F24" s="1" t="s">
        <v>182</v>
      </c>
      <c r="G24" s="1" t="s">
        <v>218</v>
      </c>
      <c r="H24" s="1">
        <v>0</v>
      </c>
      <c r="I24" s="1" t="s">
        <v>14</v>
      </c>
      <c r="K24" s="25"/>
      <c r="L24" s="23"/>
      <c r="M24" s="88" t="s">
        <v>183</v>
      </c>
    </row>
    <row r="25" spans="1:13" s="1" customFormat="1" x14ac:dyDescent="0.25">
      <c r="A25" s="1" t="str">
        <f t="shared" si="5"/>
        <v>13:26</v>
      </c>
      <c r="B25" s="77">
        <f t="shared" si="6"/>
        <v>45723</v>
      </c>
      <c r="C25" s="17" t="str">
        <f t="shared" si="4"/>
        <v>1523857</v>
      </c>
      <c r="D25" s="1" t="str">
        <f t="shared" si="3"/>
        <v>Mhajbi ABDELKEFI</v>
      </c>
      <c r="E25" s="20">
        <v>45723.560037962961</v>
      </c>
      <c r="F25" s="1" t="s">
        <v>185</v>
      </c>
      <c r="G25" s="1" t="s">
        <v>218</v>
      </c>
      <c r="H25" s="1">
        <v>0</v>
      </c>
      <c r="I25" s="1">
        <v>0</v>
      </c>
      <c r="K25" s="25"/>
      <c r="L25" s="23"/>
      <c r="M25" s="88" t="s">
        <v>186</v>
      </c>
    </row>
    <row r="26" spans="1:13" s="1" customFormat="1" x14ac:dyDescent="0.25">
      <c r="A26" s="1" t="str">
        <f t="shared" si="5"/>
        <v>13:37</v>
      </c>
      <c r="B26" s="77">
        <f t="shared" si="6"/>
        <v>45723</v>
      </c>
      <c r="C26" s="17" t="str">
        <f t="shared" si="4"/>
        <v>1599940</v>
      </c>
      <c r="D26" s="1" t="str">
        <f t="shared" si="3"/>
        <v>Jean pierre MAUBECHE</v>
      </c>
      <c r="E26" s="20">
        <v>45723.567767708337</v>
      </c>
      <c r="F26" s="1" t="s">
        <v>187</v>
      </c>
      <c r="G26" s="1" t="s">
        <v>218</v>
      </c>
      <c r="H26" s="1">
        <v>0</v>
      </c>
      <c r="I26" s="1">
        <v>0</v>
      </c>
      <c r="K26" s="25"/>
      <c r="L26" s="23"/>
      <c r="M26" s="88" t="s">
        <v>186</v>
      </c>
    </row>
    <row r="27" spans="1:13" s="1" customFormat="1" x14ac:dyDescent="0.25">
      <c r="A27" s="1" t="str">
        <f t="shared" si="5"/>
        <v>13:46</v>
      </c>
      <c r="B27" s="77">
        <f t="shared" si="6"/>
        <v>45723</v>
      </c>
      <c r="C27" s="17" t="str">
        <f t="shared" si="4"/>
        <v>1614649</v>
      </c>
      <c r="D27" s="1" t="str">
        <f t="shared" si="3"/>
        <v>Philippe NUBUL</v>
      </c>
      <c r="E27" s="20">
        <v>45723.573719560183</v>
      </c>
      <c r="F27" s="1" t="s">
        <v>188</v>
      </c>
      <c r="G27" s="1" t="s">
        <v>218</v>
      </c>
      <c r="H27" s="1">
        <v>0</v>
      </c>
      <c r="I27" s="1" t="s">
        <v>20</v>
      </c>
      <c r="K27" s="25"/>
      <c r="L27" s="23"/>
      <c r="M27" s="88" t="s">
        <v>186</v>
      </c>
    </row>
    <row r="28" spans="1:13" s="1" customFormat="1" x14ac:dyDescent="0.25">
      <c r="A28" s="1" t="str">
        <f t="shared" si="5"/>
        <v>14:02</v>
      </c>
      <c r="B28" s="77">
        <f t="shared" si="6"/>
        <v>45723</v>
      </c>
      <c r="C28" s="17" t="str">
        <f t="shared" si="4"/>
        <v>1599457</v>
      </c>
      <c r="D28" s="1" t="str">
        <f t="shared" si="3"/>
        <v>MARIA DUARTE NUNES</v>
      </c>
      <c r="E28" s="20">
        <v>45723.584991087962</v>
      </c>
      <c r="F28" s="1" t="s">
        <v>176</v>
      </c>
      <c r="G28" s="1" t="s">
        <v>218</v>
      </c>
      <c r="H28" s="1" t="s">
        <v>190</v>
      </c>
      <c r="I28" s="1" t="s">
        <v>191</v>
      </c>
      <c r="K28" s="25"/>
      <c r="L28" s="23"/>
      <c r="M28" s="88" t="s">
        <v>192</v>
      </c>
    </row>
    <row r="29" spans="1:13" s="1" customFormat="1" x14ac:dyDescent="0.25">
      <c r="A29" s="1" t="str">
        <f t="shared" si="5"/>
        <v>10:37</v>
      </c>
      <c r="B29" s="77">
        <f t="shared" si="6"/>
        <v>45726</v>
      </c>
      <c r="C29" s="17" t="str">
        <f t="shared" si="4"/>
        <v>1599457</v>
      </c>
      <c r="D29" s="1" t="str">
        <f t="shared" si="3"/>
        <v>MARIA DUARTE NUNES</v>
      </c>
      <c r="E29" s="20">
        <v>45726.442522106481</v>
      </c>
      <c r="F29" s="1" t="s">
        <v>176</v>
      </c>
      <c r="G29" s="1" t="s">
        <v>218</v>
      </c>
      <c r="H29" s="1" t="s">
        <v>181</v>
      </c>
      <c r="I29" s="1" t="s">
        <v>13</v>
      </c>
      <c r="J29" s="1" t="s">
        <v>11</v>
      </c>
      <c r="K29" s="25"/>
      <c r="L29" s="23">
        <v>0.41666666666666669</v>
      </c>
      <c r="M29" s="88">
        <v>45727</v>
      </c>
    </row>
    <row r="30" spans="1:13" x14ac:dyDescent="0.25">
      <c r="A30" s="17" t="str">
        <f t="shared" si="5"/>
        <v>15:24</v>
      </c>
      <c r="B30" s="76">
        <f t="shared" si="6"/>
        <v>45723</v>
      </c>
      <c r="C30" s="17" t="str">
        <f t="shared" si="4"/>
        <v>1630171</v>
      </c>
      <c r="D30" s="17" t="str">
        <f t="shared" si="3"/>
        <v>Micheline TARTAG</v>
      </c>
      <c r="E30" s="41">
        <v>45723.642347569446</v>
      </c>
      <c r="F30" s="17" t="s">
        <v>184</v>
      </c>
      <c r="G30" s="17" t="s">
        <v>242</v>
      </c>
      <c r="H30" s="17" t="s">
        <v>193</v>
      </c>
      <c r="J30" s="17" t="s">
        <v>14</v>
      </c>
      <c r="K30" s="25">
        <v>45728</v>
      </c>
      <c r="L30" s="42">
        <v>0.66666666666666663</v>
      </c>
      <c r="M30" s="88" t="s">
        <v>194</v>
      </c>
    </row>
    <row r="31" spans="1:13" x14ac:dyDescent="0.25">
      <c r="A31" s="17" t="str">
        <f t="shared" si="5"/>
        <v>15:47</v>
      </c>
      <c r="B31" s="76">
        <f t="shared" si="6"/>
        <v>45723</v>
      </c>
      <c r="C31" s="17" t="str">
        <f t="shared" si="4"/>
        <v>1625831</v>
      </c>
      <c r="D31" s="17" t="str">
        <f t="shared" si="3"/>
        <v>Danielle DELRIEU</v>
      </c>
      <c r="E31" s="41">
        <v>45723.658323842596</v>
      </c>
      <c r="F31" s="17" t="s">
        <v>195</v>
      </c>
      <c r="G31" s="17" t="s">
        <v>218</v>
      </c>
      <c r="H31" s="17" t="s">
        <v>193</v>
      </c>
      <c r="J31" s="1" t="s">
        <v>11</v>
      </c>
      <c r="M31" s="88" t="s">
        <v>196</v>
      </c>
    </row>
    <row r="32" spans="1:13" s="1" customFormat="1" x14ac:dyDescent="0.25">
      <c r="A32" s="1" t="str">
        <f t="shared" si="5"/>
        <v>08:38</v>
      </c>
      <c r="B32" s="77">
        <f t="shared" si="6"/>
        <v>45724</v>
      </c>
      <c r="C32" s="17" t="str">
        <f t="shared" si="4"/>
        <v>1503385</v>
      </c>
      <c r="D32" s="1" t="str">
        <f t="shared" si="3"/>
        <v>DOMINIQUE DUBOIS</v>
      </c>
      <c r="E32" s="20">
        <v>45724.35998587963</v>
      </c>
      <c r="F32" s="1" t="s">
        <v>197</v>
      </c>
      <c r="G32" s="1" t="s">
        <v>218</v>
      </c>
      <c r="H32" s="1" t="s">
        <v>189</v>
      </c>
      <c r="I32" s="1" t="s">
        <v>13</v>
      </c>
      <c r="J32" s="1" t="s">
        <v>11</v>
      </c>
      <c r="K32" s="25"/>
      <c r="L32" s="23"/>
      <c r="M32" s="88" t="s">
        <v>201</v>
      </c>
    </row>
    <row r="33" spans="1:13" x14ac:dyDescent="0.25">
      <c r="A33" s="17" t="str">
        <f t="shared" si="5"/>
        <v>09:48</v>
      </c>
      <c r="B33" s="76">
        <f t="shared" si="6"/>
        <v>45724</v>
      </c>
      <c r="C33" s="17" t="str">
        <f t="shared" si="4"/>
        <v>1594927</v>
      </c>
      <c r="D33" s="17" t="str">
        <f t="shared" si="3"/>
        <v>Michel MANGIN</v>
      </c>
      <c r="E33" s="41">
        <v>45724.408953124999</v>
      </c>
      <c r="F33" s="17" t="s">
        <v>202</v>
      </c>
      <c r="G33" s="17" t="s">
        <v>218</v>
      </c>
      <c r="H33" s="17" t="s">
        <v>189</v>
      </c>
      <c r="J33" s="17" t="s">
        <v>14</v>
      </c>
      <c r="M33" s="88" t="s">
        <v>204</v>
      </c>
    </row>
    <row r="34" spans="1:13" x14ac:dyDescent="0.25">
      <c r="A34" s="17" t="str">
        <f t="shared" si="5"/>
        <v>09:50</v>
      </c>
      <c r="B34" s="76">
        <f t="shared" si="6"/>
        <v>45724</v>
      </c>
      <c r="C34" s="17" t="str">
        <f t="shared" si="4"/>
        <v>1594927</v>
      </c>
      <c r="D34" s="17" t="str">
        <f t="shared" si="3"/>
        <v>Michel MANGIN</v>
      </c>
      <c r="E34" s="41">
        <v>45724.40972476852</v>
      </c>
      <c r="F34" s="17" t="s">
        <v>202</v>
      </c>
      <c r="G34" s="17" t="s">
        <v>218</v>
      </c>
      <c r="H34" s="17" t="s">
        <v>189</v>
      </c>
      <c r="J34" s="17" t="s">
        <v>14</v>
      </c>
      <c r="M34" s="88" t="s">
        <v>204</v>
      </c>
    </row>
    <row r="35" spans="1:13" x14ac:dyDescent="0.25">
      <c r="A35" s="17" t="str">
        <f t="shared" si="5"/>
        <v>09:55</v>
      </c>
      <c r="B35" s="76">
        <f t="shared" si="6"/>
        <v>45724</v>
      </c>
      <c r="C35" s="17" t="str">
        <f t="shared" si="4"/>
        <v>1637269</v>
      </c>
      <c r="D35" s="17" t="str">
        <f t="shared" si="3"/>
        <v>Serge COULON</v>
      </c>
      <c r="E35" s="41">
        <v>45724.41339386574</v>
      </c>
      <c r="F35" s="17" t="s">
        <v>206</v>
      </c>
      <c r="G35" s="17" t="s">
        <v>208</v>
      </c>
      <c r="H35" s="17" t="s">
        <v>193</v>
      </c>
      <c r="J35" s="17" t="s">
        <v>14</v>
      </c>
      <c r="M35" s="88" t="s">
        <v>207</v>
      </c>
    </row>
    <row r="36" spans="1:13" s="1" customFormat="1" x14ac:dyDescent="0.25">
      <c r="A36" s="1" t="str">
        <f t="shared" si="5"/>
        <v>10:29</v>
      </c>
      <c r="B36" s="77">
        <f t="shared" si="6"/>
        <v>45724</v>
      </c>
      <c r="C36" s="17" t="str">
        <f t="shared" si="4"/>
        <v>1637269</v>
      </c>
      <c r="D36" s="1" t="str">
        <f t="shared" si="3"/>
        <v>Serge COULON</v>
      </c>
      <c r="E36" s="20">
        <v>45724.436941087966</v>
      </c>
      <c r="F36" s="1" t="s">
        <v>206</v>
      </c>
      <c r="G36" s="17" t="s">
        <v>208</v>
      </c>
      <c r="H36" s="1" t="s">
        <v>193</v>
      </c>
      <c r="I36" s="1" t="s">
        <v>20</v>
      </c>
      <c r="J36" s="1" t="s">
        <v>11</v>
      </c>
      <c r="K36" s="25"/>
      <c r="L36" s="23"/>
      <c r="M36" s="88" t="s">
        <v>209</v>
      </c>
    </row>
    <row r="37" spans="1:13" s="1" customFormat="1" x14ac:dyDescent="0.25">
      <c r="A37" s="1" t="str">
        <f t="shared" si="5"/>
        <v>11:11</v>
      </c>
      <c r="B37" s="77">
        <f t="shared" si="6"/>
        <v>45724</v>
      </c>
      <c r="C37" s="17" t="str">
        <f t="shared" si="4"/>
        <v>1594927</v>
      </c>
      <c r="D37" s="1" t="str">
        <f t="shared" si="3"/>
        <v>Michel MANGIN</v>
      </c>
      <c r="E37" s="20">
        <v>45724.466364120373</v>
      </c>
      <c r="F37" s="1" t="s">
        <v>202</v>
      </c>
      <c r="G37" s="1" t="s">
        <v>218</v>
      </c>
      <c r="H37" s="1" t="s">
        <v>193</v>
      </c>
      <c r="I37" s="1" t="s">
        <v>20</v>
      </c>
      <c r="J37" s="1" t="s">
        <v>11</v>
      </c>
      <c r="K37" s="25"/>
      <c r="L37" s="23"/>
      <c r="M37" s="88" t="s">
        <v>210</v>
      </c>
    </row>
    <row r="38" spans="1:13" s="1" customFormat="1" x14ac:dyDescent="0.25">
      <c r="A38" s="1" t="str">
        <f t="shared" si="5"/>
        <v>08:56</v>
      </c>
      <c r="B38" s="77">
        <f t="shared" si="6"/>
        <v>45726</v>
      </c>
      <c r="C38" s="17" t="str">
        <f t="shared" si="4"/>
        <v>1625831</v>
      </c>
      <c r="D38" s="1" t="str">
        <f t="shared" si="3"/>
        <v>Danielle DELRIEU</v>
      </c>
      <c r="E38" s="20">
        <v>45726.372464120373</v>
      </c>
      <c r="F38" s="1" t="s">
        <v>195</v>
      </c>
      <c r="G38" s="1" t="s">
        <v>190</v>
      </c>
      <c r="H38" s="1" t="s">
        <v>13</v>
      </c>
      <c r="I38" s="1" t="s">
        <v>11</v>
      </c>
      <c r="K38" s="25"/>
      <c r="L38" s="23"/>
      <c r="M38" s="32" t="s">
        <v>212</v>
      </c>
    </row>
    <row r="39" spans="1:13" s="1" customFormat="1" x14ac:dyDescent="0.25">
      <c r="A39" s="1" t="str">
        <f t="shared" si="5"/>
        <v>11:02</v>
      </c>
      <c r="B39" s="77">
        <f t="shared" si="6"/>
        <v>45726</v>
      </c>
      <c r="C39" s="17" t="str">
        <f t="shared" si="4"/>
        <v>1599457</v>
      </c>
      <c r="D39" s="1" t="str">
        <f t="shared" si="3"/>
        <v>MARIA DUARTE NUNES</v>
      </c>
      <c r="E39" s="20">
        <v>45726.460008333335</v>
      </c>
      <c r="F39" s="1" t="s">
        <v>176</v>
      </c>
      <c r="G39" s="1" t="s">
        <v>181</v>
      </c>
      <c r="H39" s="1" t="s">
        <v>193</v>
      </c>
      <c r="I39" s="1" t="s">
        <v>13</v>
      </c>
      <c r="J39" s="1" t="s">
        <v>11</v>
      </c>
      <c r="K39" s="25"/>
      <c r="L39" s="23"/>
      <c r="M39" s="32" t="s">
        <v>219</v>
      </c>
    </row>
    <row r="40" spans="1:13" x14ac:dyDescent="0.25">
      <c r="A40" s="17" t="str">
        <f t="shared" si="5"/>
        <v>11:49</v>
      </c>
      <c r="B40" s="76">
        <f t="shared" si="6"/>
        <v>45726</v>
      </c>
      <c r="C40" s="17" t="str">
        <f t="shared" si="4"/>
        <v>1637269</v>
      </c>
      <c r="D40" s="17" t="str">
        <f t="shared" si="3"/>
        <v>Serge COULON</v>
      </c>
      <c r="E40" s="41">
        <v>45726.49252673611</v>
      </c>
      <c r="F40" s="17" t="s">
        <v>206</v>
      </c>
      <c r="G40" s="17" t="s">
        <v>208</v>
      </c>
      <c r="H40" s="17" t="s">
        <v>193</v>
      </c>
      <c r="I40" s="17" t="s">
        <v>13</v>
      </c>
      <c r="J40" s="17" t="s">
        <v>14</v>
      </c>
      <c r="K40" s="25">
        <v>45727</v>
      </c>
      <c r="L40" s="42">
        <v>0.58333333333333337</v>
      </c>
      <c r="M40" s="88" t="s">
        <v>220</v>
      </c>
    </row>
    <row r="41" spans="1:13" x14ac:dyDescent="0.25">
      <c r="A41" s="17" t="str">
        <f t="shared" si="5"/>
        <v>13:23</v>
      </c>
      <c r="B41" s="76">
        <f t="shared" si="6"/>
        <v>45726</v>
      </c>
      <c r="C41" s="17" t="str">
        <f t="shared" si="4"/>
        <v>1591725</v>
      </c>
      <c r="D41" s="17" t="str">
        <f t="shared" si="3"/>
        <v>Pascale CHETOT GAMBETTI</v>
      </c>
      <c r="E41" s="41">
        <v>45726.558152777776</v>
      </c>
      <c r="F41" s="17" t="s">
        <v>216</v>
      </c>
      <c r="G41" s="17" t="s">
        <v>199</v>
      </c>
      <c r="H41" s="17" t="s">
        <v>193</v>
      </c>
      <c r="I41" s="17" t="s">
        <v>13</v>
      </c>
      <c r="J41" s="17" t="s">
        <v>14</v>
      </c>
      <c r="K41" s="25">
        <v>45727</v>
      </c>
      <c r="L41" s="42">
        <v>0.375</v>
      </c>
      <c r="M41" s="88" t="s">
        <v>221</v>
      </c>
    </row>
    <row r="42" spans="1:13" x14ac:dyDescent="0.25">
      <c r="A42" s="17" t="str">
        <f t="shared" si="5"/>
        <v>16:07</v>
      </c>
      <c r="B42" s="76">
        <f t="shared" si="6"/>
        <v>45726</v>
      </c>
      <c r="C42" s="17" t="str">
        <f t="shared" si="4"/>
        <v>1560288</v>
      </c>
      <c r="D42" s="17" t="str">
        <f t="shared" si="3"/>
        <v>RAHAJALISOA RASOLONDRAIBE</v>
      </c>
      <c r="E42" s="41">
        <v>45726.671674421297</v>
      </c>
      <c r="F42" s="17" t="s">
        <v>217</v>
      </c>
      <c r="G42" s="17" t="s">
        <v>208</v>
      </c>
      <c r="H42" s="17" t="s">
        <v>190</v>
      </c>
      <c r="I42" s="17" t="s">
        <v>13</v>
      </c>
      <c r="J42" s="17" t="s">
        <v>14</v>
      </c>
      <c r="K42" s="25">
        <v>45727</v>
      </c>
      <c r="L42" s="42">
        <v>0.375</v>
      </c>
      <c r="M42" s="88" t="s">
        <v>222</v>
      </c>
    </row>
    <row r="43" spans="1:13" s="1" customFormat="1" x14ac:dyDescent="0.25">
      <c r="A43" s="1" t="str">
        <f t="shared" si="5"/>
        <v>08:31</v>
      </c>
      <c r="B43" s="77">
        <f t="shared" si="6"/>
        <v>45727</v>
      </c>
      <c r="C43" s="17" t="str">
        <f t="shared" si="4"/>
        <v>1560288</v>
      </c>
      <c r="D43" s="1" t="str">
        <f t="shared" si="3"/>
        <v>RAHAJALISOA RASOLONDRAIBE</v>
      </c>
      <c r="E43" s="20">
        <v>45727.355360648151</v>
      </c>
      <c r="F43" s="1" t="s">
        <v>217</v>
      </c>
      <c r="G43" s="1" t="s">
        <v>208</v>
      </c>
      <c r="H43" s="1" t="s">
        <v>193</v>
      </c>
      <c r="I43" s="1" t="s">
        <v>13</v>
      </c>
      <c r="J43" s="1" t="s">
        <v>14</v>
      </c>
      <c r="K43" s="25">
        <v>45727</v>
      </c>
      <c r="L43" s="23">
        <v>0.41666666666666702</v>
      </c>
      <c r="M43" s="32" t="s">
        <v>233</v>
      </c>
    </row>
    <row r="44" spans="1:13" s="1" customFormat="1" x14ac:dyDescent="0.25">
      <c r="A44" s="1" t="str">
        <f t="shared" si="5"/>
        <v>08:46</v>
      </c>
      <c r="B44" s="77">
        <f t="shared" si="6"/>
        <v>45727</v>
      </c>
      <c r="C44" s="17" t="str">
        <f t="shared" si="4"/>
        <v>1591725</v>
      </c>
      <c r="D44" s="1" t="str">
        <f t="shared" si="3"/>
        <v>Pascale CHETOT GAMBETTI</v>
      </c>
      <c r="E44" s="20">
        <v>45727.365560995371</v>
      </c>
      <c r="F44" s="1" t="s">
        <v>216</v>
      </c>
      <c r="G44" s="1" t="s">
        <v>208</v>
      </c>
      <c r="H44" s="1" t="s">
        <v>193</v>
      </c>
      <c r="I44" s="1" t="s">
        <v>13</v>
      </c>
      <c r="J44" s="1" t="s">
        <v>14</v>
      </c>
      <c r="K44" s="25">
        <v>45727</v>
      </c>
      <c r="L44" s="23">
        <v>0.4375</v>
      </c>
      <c r="M44" s="32" t="s">
        <v>235</v>
      </c>
    </row>
    <row r="45" spans="1:13" s="1" customFormat="1" x14ac:dyDescent="0.25">
      <c r="A45" s="1" t="str">
        <f t="shared" si="5"/>
        <v>08:59</v>
      </c>
      <c r="B45" s="77">
        <f t="shared" si="6"/>
        <v>45727</v>
      </c>
      <c r="C45" s="17" t="str">
        <f t="shared" si="4"/>
        <v>1637269</v>
      </c>
      <c r="D45" s="1" t="str">
        <f t="shared" si="3"/>
        <v>Serge COULON</v>
      </c>
      <c r="E45" s="20">
        <v>45727.374486921297</v>
      </c>
      <c r="F45" s="1" t="s">
        <v>206</v>
      </c>
      <c r="G45" s="1" t="s">
        <v>208</v>
      </c>
      <c r="H45" s="1" t="s">
        <v>193</v>
      </c>
      <c r="I45" s="1" t="s">
        <v>13</v>
      </c>
      <c r="J45" s="1" t="s">
        <v>14</v>
      </c>
      <c r="K45" s="25">
        <v>45727</v>
      </c>
      <c r="L45" s="23">
        <v>0.4375</v>
      </c>
      <c r="M45" s="32" t="s">
        <v>234</v>
      </c>
    </row>
    <row r="46" spans="1:13" s="1" customFormat="1" x14ac:dyDescent="0.25">
      <c r="A46" s="1" t="str">
        <f t="shared" si="5"/>
        <v>09:58</v>
      </c>
      <c r="B46" s="77">
        <f t="shared" si="6"/>
        <v>45727</v>
      </c>
      <c r="C46" s="17" t="str">
        <f t="shared" si="4"/>
        <v>1611218</v>
      </c>
      <c r="D46" s="1" t="str">
        <f t="shared" si="3"/>
        <v>DANIELLE SCANTLEBURY</v>
      </c>
      <c r="E46" s="20">
        <v>45727.415758912037</v>
      </c>
      <c r="F46" s="1" t="s">
        <v>27</v>
      </c>
      <c r="G46" s="1" t="s">
        <v>199</v>
      </c>
      <c r="H46" s="1" t="s">
        <v>190</v>
      </c>
      <c r="I46" s="1" t="s">
        <v>13</v>
      </c>
      <c r="J46" s="1" t="s">
        <v>11</v>
      </c>
      <c r="K46" s="25"/>
      <c r="L46" s="23"/>
      <c r="M46" s="32" t="s">
        <v>236</v>
      </c>
    </row>
    <row r="47" spans="1:13" s="1" customFormat="1" x14ac:dyDescent="0.25">
      <c r="A47" s="1" t="str">
        <f t="shared" si="5"/>
        <v>10:21</v>
      </c>
      <c r="B47" s="77">
        <f t="shared" si="6"/>
        <v>45727</v>
      </c>
      <c r="C47" s="17" t="str">
        <f t="shared" si="4"/>
        <v>1591725</v>
      </c>
      <c r="D47" s="1" t="str">
        <f t="shared" si="3"/>
        <v>Pascale CHETOT GAMBETTI</v>
      </c>
      <c r="E47" s="20">
        <v>45727.431593634261</v>
      </c>
      <c r="F47" s="1" t="s">
        <v>216</v>
      </c>
      <c r="G47" s="1" t="s">
        <v>181</v>
      </c>
      <c r="H47" s="1" t="s">
        <v>193</v>
      </c>
      <c r="I47" s="1" t="s">
        <v>13</v>
      </c>
      <c r="J47" s="1" t="s">
        <v>28</v>
      </c>
      <c r="K47" s="25">
        <v>0</v>
      </c>
      <c r="L47" s="23">
        <v>0</v>
      </c>
      <c r="M47" s="32" t="s">
        <v>237</v>
      </c>
    </row>
    <row r="48" spans="1:13" s="1" customFormat="1" x14ac:dyDescent="0.25">
      <c r="A48" s="1" t="str">
        <f t="shared" si="5"/>
        <v>11:00</v>
      </c>
      <c r="B48" s="77">
        <f t="shared" si="6"/>
        <v>45727</v>
      </c>
      <c r="C48" s="17" t="str">
        <f t="shared" si="4"/>
        <v>1629776</v>
      </c>
      <c r="D48" s="1" t="str">
        <f t="shared" si="3"/>
        <v>Emma PLANQUES</v>
      </c>
      <c r="E48" s="20">
        <v>45727.458413657405</v>
      </c>
      <c r="F48" s="1" t="s">
        <v>238</v>
      </c>
      <c r="G48" s="1" t="s">
        <v>199</v>
      </c>
      <c r="H48" s="1" t="s">
        <v>190</v>
      </c>
      <c r="I48" s="1" t="s">
        <v>13</v>
      </c>
      <c r="J48" s="1" t="s">
        <v>28</v>
      </c>
      <c r="K48" s="25">
        <v>0</v>
      </c>
      <c r="L48" s="23">
        <v>0</v>
      </c>
      <c r="M48" s="32" t="s">
        <v>239</v>
      </c>
    </row>
    <row r="49" spans="1:13" s="1" customFormat="1" x14ac:dyDescent="0.25">
      <c r="A49" s="1" t="str">
        <f t="shared" si="5"/>
        <v>11:25</v>
      </c>
      <c r="B49" s="77">
        <f t="shared" si="6"/>
        <v>45727</v>
      </c>
      <c r="C49" s="17" t="str">
        <f t="shared" si="4"/>
        <v>1629776</v>
      </c>
      <c r="D49" s="1" t="str">
        <f t="shared" si="3"/>
        <v>Emma PLANQUES</v>
      </c>
      <c r="E49" s="20">
        <v>45727.476024537034</v>
      </c>
      <c r="F49" s="1" t="s">
        <v>238</v>
      </c>
      <c r="G49" s="1" t="s">
        <v>199</v>
      </c>
      <c r="H49" s="1" t="s">
        <v>190</v>
      </c>
      <c r="I49" s="1" t="s">
        <v>13</v>
      </c>
      <c r="J49" s="1" t="s">
        <v>14</v>
      </c>
      <c r="K49" s="25">
        <v>45727</v>
      </c>
      <c r="L49" s="23">
        <v>0.70833333333333304</v>
      </c>
      <c r="M49" s="88" t="s">
        <v>240</v>
      </c>
    </row>
    <row r="50" spans="1:13" s="1" customFormat="1" x14ac:dyDescent="0.25">
      <c r="A50" s="1" t="str">
        <f t="shared" si="5"/>
        <v>11:45</v>
      </c>
      <c r="B50" s="77">
        <f t="shared" si="6"/>
        <v>45727</v>
      </c>
      <c r="C50" s="17" t="str">
        <f t="shared" si="4"/>
        <v>1604976</v>
      </c>
      <c r="D50" s="1" t="str">
        <f t="shared" si="3"/>
        <v>MARIAMA MAECHA SOILIHI</v>
      </c>
      <c r="E50" s="20">
        <v>45727.489780439813</v>
      </c>
      <c r="F50" s="1" t="s">
        <v>241</v>
      </c>
      <c r="G50" s="1" t="s">
        <v>242</v>
      </c>
      <c r="H50" s="1" t="s">
        <v>193</v>
      </c>
      <c r="I50" s="1" t="s">
        <v>13</v>
      </c>
      <c r="J50" s="1" t="s">
        <v>11</v>
      </c>
      <c r="K50" s="25">
        <v>0</v>
      </c>
      <c r="L50" s="23">
        <v>0</v>
      </c>
      <c r="M50" s="88" t="s">
        <v>243</v>
      </c>
    </row>
    <row r="51" spans="1:13" s="1" customFormat="1" x14ac:dyDescent="0.25">
      <c r="A51" s="1" t="str">
        <f t="shared" si="5"/>
        <v>13:29</v>
      </c>
      <c r="B51" s="77">
        <f t="shared" si="6"/>
        <v>45727</v>
      </c>
      <c r="C51" s="17" t="str">
        <f t="shared" si="4"/>
        <v>1560288</v>
      </c>
      <c r="D51" s="1" t="str">
        <f t="shared" si="3"/>
        <v>RAHAJALISOA RASOLONDRAIBE</v>
      </c>
      <c r="E51" s="20">
        <v>45727.562352893518</v>
      </c>
      <c r="F51" s="1" t="s">
        <v>217</v>
      </c>
      <c r="G51" s="1" t="s">
        <v>199</v>
      </c>
      <c r="H51" s="1" t="s">
        <v>190</v>
      </c>
      <c r="I51" s="1" t="s">
        <v>13</v>
      </c>
      <c r="J51" s="1" t="s">
        <v>14</v>
      </c>
      <c r="K51" s="25">
        <v>45728</v>
      </c>
      <c r="L51" s="23">
        <v>0.41666666666666702</v>
      </c>
      <c r="M51" s="32" t="s">
        <v>244</v>
      </c>
    </row>
    <row r="52" spans="1:13" s="1" customFormat="1" x14ac:dyDescent="0.25">
      <c r="A52" s="1" t="str">
        <f>IF(E52&lt;&gt;"",TEXT(E52, "hh:mm"),"-")</f>
        <v>13:52</v>
      </c>
      <c r="B52" s="77">
        <f>IF(E52&lt;&gt;"",DATE(YEAR(E52),MONTH(E52), DAY(E52)),"-")</f>
        <v>45727</v>
      </c>
      <c r="C52" s="17" t="str">
        <f>IF(F52&lt;&gt;"", LEFT(RIGHT(F52, LEN(F52) - FIND("N°", F52) - 1), FIND(" ", RIGHT(F52, LEN(F52) - FIND("N°", F52) - 1) &amp; " ") - 1), "-")</f>
        <v>1637269</v>
      </c>
      <c r="D52" s="1" t="str">
        <f>IF(F52&lt;&gt;"",RIGHT(F52, LEN(F52) - FIND(" - ", F52) - 2),"")</f>
        <v>Serge COULON</v>
      </c>
      <c r="E52" s="20">
        <v>45727.578121643521</v>
      </c>
      <c r="F52" s="1" t="s">
        <v>206</v>
      </c>
      <c r="G52" s="1" t="s">
        <v>208</v>
      </c>
      <c r="H52" s="1" t="s">
        <v>193</v>
      </c>
      <c r="I52" s="1" t="s">
        <v>13</v>
      </c>
      <c r="J52" s="1" t="s">
        <v>14</v>
      </c>
      <c r="K52" s="25">
        <v>45736</v>
      </c>
      <c r="L52" s="23">
        <v>0.41666666666666702</v>
      </c>
      <c r="M52" s="32" t="s">
        <v>245</v>
      </c>
    </row>
    <row r="53" spans="1:13" s="1" customFormat="1" x14ac:dyDescent="0.25">
      <c r="A53" s="1" t="str">
        <f t="shared" si="5"/>
        <v>14:24</v>
      </c>
      <c r="B53" s="77">
        <f t="shared" si="6"/>
        <v>45727</v>
      </c>
      <c r="C53" s="17" t="str">
        <f t="shared" si="4"/>
        <v>575358</v>
      </c>
      <c r="D53" s="1" t="str">
        <f t="shared" si="3"/>
        <v>Catherine EVRARD</v>
      </c>
      <c r="E53" s="20">
        <v>45727.600586342596</v>
      </c>
      <c r="F53" s="1" t="s">
        <v>246</v>
      </c>
      <c r="G53" s="1" t="s">
        <v>208</v>
      </c>
      <c r="H53" s="1" t="s">
        <v>190</v>
      </c>
      <c r="I53" s="1" t="s">
        <v>13</v>
      </c>
      <c r="J53" s="1" t="s">
        <v>14</v>
      </c>
      <c r="K53" s="25">
        <v>45734</v>
      </c>
      <c r="L53" s="23">
        <v>0.375</v>
      </c>
      <c r="M53" s="32" t="s">
        <v>247</v>
      </c>
    </row>
    <row r="54" spans="1:13" s="1" customFormat="1" x14ac:dyDescent="0.25">
      <c r="A54" s="1" t="str">
        <f t="shared" si="5"/>
        <v>08:17</v>
      </c>
      <c r="B54" s="77">
        <f t="shared" si="6"/>
        <v>45728</v>
      </c>
      <c r="C54" s="17" t="str">
        <f t="shared" si="4"/>
        <v>1560288</v>
      </c>
      <c r="D54" s="1" t="str">
        <f t="shared" si="3"/>
        <v>RAHAJALISOA RASOLONDRAIBE</v>
      </c>
      <c r="E54" s="20">
        <v>45728.345276851855</v>
      </c>
      <c r="F54" s="1" t="s">
        <v>217</v>
      </c>
      <c r="G54" s="1" t="s">
        <v>208</v>
      </c>
      <c r="H54" s="1" t="s">
        <v>193</v>
      </c>
      <c r="I54" s="1" t="s">
        <v>13</v>
      </c>
      <c r="J54" s="1" t="s">
        <v>14</v>
      </c>
      <c r="K54" s="25">
        <v>45728</v>
      </c>
      <c r="L54" s="23">
        <v>0.41666666666666702</v>
      </c>
      <c r="M54" s="32" t="s">
        <v>233</v>
      </c>
    </row>
    <row r="55" spans="1:13" s="1" customFormat="1" x14ac:dyDescent="0.25">
      <c r="A55" s="1" t="str">
        <f t="shared" si="5"/>
        <v>08:36</v>
      </c>
      <c r="B55" s="77">
        <f t="shared" si="6"/>
        <v>45728</v>
      </c>
      <c r="C55" s="17" t="str">
        <f t="shared" si="4"/>
        <v>1591725</v>
      </c>
      <c r="D55" s="1" t="str">
        <f t="shared" si="3"/>
        <v>Pascale CHETOT GAMBETTI</v>
      </c>
      <c r="E55" s="20">
        <v>45728.358917361111</v>
      </c>
      <c r="F55" s="1" t="s">
        <v>216</v>
      </c>
      <c r="G55" s="1" t="s">
        <v>199</v>
      </c>
      <c r="H55" s="1" t="s">
        <v>193</v>
      </c>
      <c r="I55" s="1" t="s">
        <v>14</v>
      </c>
      <c r="J55" s="1" t="s">
        <v>14</v>
      </c>
      <c r="K55" s="25">
        <v>45729</v>
      </c>
      <c r="L55" s="23">
        <v>0.4375</v>
      </c>
      <c r="M55" s="32" t="s">
        <v>233</v>
      </c>
    </row>
    <row r="56" spans="1:13" s="1" customFormat="1" x14ac:dyDescent="0.25">
      <c r="A56" s="1" t="str">
        <f t="shared" si="5"/>
        <v>08:39</v>
      </c>
      <c r="B56" s="77">
        <f t="shared" si="6"/>
        <v>45728</v>
      </c>
      <c r="C56" s="17" t="str">
        <f t="shared" si="4"/>
        <v>1637269</v>
      </c>
      <c r="D56" s="1" t="str">
        <f t="shared" si="3"/>
        <v>Serge COULON</v>
      </c>
      <c r="E56" s="20">
        <v>45728.360732870373</v>
      </c>
      <c r="F56" s="1" t="s">
        <v>206</v>
      </c>
      <c r="G56" s="1" t="s">
        <v>181</v>
      </c>
      <c r="H56" s="1" t="s">
        <v>189</v>
      </c>
      <c r="I56" s="1" t="s">
        <v>250</v>
      </c>
      <c r="J56" s="1" t="s">
        <v>14</v>
      </c>
      <c r="K56" s="25">
        <v>45728</v>
      </c>
      <c r="L56" s="23">
        <v>0.41666666666666702</v>
      </c>
      <c r="M56" s="32" t="s">
        <v>257</v>
      </c>
    </row>
    <row r="57" spans="1:13" s="1" customFormat="1" x14ac:dyDescent="0.25">
      <c r="A57" s="1" t="str">
        <f t="shared" si="5"/>
        <v>09:27</v>
      </c>
      <c r="B57" s="77">
        <f t="shared" si="6"/>
        <v>45728</v>
      </c>
      <c r="C57" s="17" t="str">
        <f t="shared" si="4"/>
        <v>1629776</v>
      </c>
      <c r="D57" s="1" t="str">
        <f t="shared" si="3"/>
        <v>Emma PLANQUES</v>
      </c>
      <c r="E57" s="20">
        <v>45728.393935300926</v>
      </c>
      <c r="F57" s="1" t="s">
        <v>238</v>
      </c>
      <c r="G57" s="1" t="s">
        <v>199</v>
      </c>
      <c r="H57" s="1" t="s">
        <v>190</v>
      </c>
      <c r="I57" s="1" t="s">
        <v>14</v>
      </c>
      <c r="J57" s="1" t="s">
        <v>28</v>
      </c>
      <c r="K57" s="25" t="s">
        <v>218</v>
      </c>
      <c r="L57" s="23">
        <v>0</v>
      </c>
      <c r="M57" s="32" t="s">
        <v>258</v>
      </c>
    </row>
    <row r="58" spans="1:13" s="1" customFormat="1" x14ac:dyDescent="0.25">
      <c r="A58" s="1" t="str">
        <f t="shared" si="5"/>
        <v>09:51</v>
      </c>
      <c r="B58" s="77">
        <f t="shared" si="6"/>
        <v>45728</v>
      </c>
      <c r="C58" s="17" t="str">
        <f t="shared" si="4"/>
        <v>1629776</v>
      </c>
      <c r="D58" s="1" t="str">
        <f t="shared" si="3"/>
        <v>Emma PLANQUES</v>
      </c>
      <c r="E58" s="20">
        <v>45728.410898726848</v>
      </c>
      <c r="F58" s="1" t="s">
        <v>238</v>
      </c>
      <c r="G58" s="1" t="s">
        <v>199</v>
      </c>
      <c r="H58" s="1" t="s">
        <v>190</v>
      </c>
      <c r="I58" s="1" t="s">
        <v>13</v>
      </c>
      <c r="J58" s="1" t="s">
        <v>11</v>
      </c>
      <c r="K58" s="25" t="s">
        <v>218</v>
      </c>
      <c r="L58" s="23">
        <v>0</v>
      </c>
      <c r="M58" s="32" t="s">
        <v>259</v>
      </c>
    </row>
    <row r="59" spans="1:13" s="1" customFormat="1" x14ac:dyDescent="0.25">
      <c r="A59" s="1" t="str">
        <f t="shared" si="5"/>
        <v>10:09</v>
      </c>
      <c r="B59" s="77">
        <f t="shared" si="6"/>
        <v>45728</v>
      </c>
      <c r="C59" s="17" t="str">
        <f t="shared" si="4"/>
        <v>1630171</v>
      </c>
      <c r="D59" s="1" t="str">
        <f t="shared" si="3"/>
        <v>Micheline TARTAG</v>
      </c>
      <c r="E59" s="20">
        <v>45728.423143865744</v>
      </c>
      <c r="F59" s="1" t="s">
        <v>184</v>
      </c>
      <c r="G59" s="1" t="s">
        <v>242</v>
      </c>
      <c r="H59" s="1" t="s">
        <v>193</v>
      </c>
      <c r="I59" s="1" t="s">
        <v>13</v>
      </c>
      <c r="J59" s="1" t="s">
        <v>14</v>
      </c>
      <c r="K59" s="25">
        <v>45728</v>
      </c>
      <c r="L59" s="23">
        <v>0.60416666666666596</v>
      </c>
      <c r="M59" s="32" t="s">
        <v>260</v>
      </c>
    </row>
    <row r="60" spans="1:13" s="1" customFormat="1" x14ac:dyDescent="0.25">
      <c r="A60" s="1" t="str">
        <f t="shared" si="5"/>
        <v>10:48</v>
      </c>
      <c r="B60" s="77">
        <f t="shared" si="6"/>
        <v>45728</v>
      </c>
      <c r="C60" s="17" t="str">
        <f t="shared" si="4"/>
        <v>1630171</v>
      </c>
      <c r="D60" s="1" t="str">
        <f t="shared" si="3"/>
        <v>Micheline TARTAG</v>
      </c>
      <c r="E60" s="20">
        <v>45728.450210300929</v>
      </c>
      <c r="F60" s="1" t="s">
        <v>184</v>
      </c>
      <c r="G60" s="1" t="s">
        <v>242</v>
      </c>
      <c r="H60" s="1" t="s">
        <v>193</v>
      </c>
      <c r="I60" s="1" t="s">
        <v>13</v>
      </c>
      <c r="J60" s="1" t="s">
        <v>11</v>
      </c>
      <c r="K60" s="25" t="s">
        <v>218</v>
      </c>
      <c r="L60" s="23">
        <v>0</v>
      </c>
      <c r="M60" s="32" t="s">
        <v>261</v>
      </c>
    </row>
    <row r="61" spans="1:13" s="1" customFormat="1" x14ac:dyDescent="0.25">
      <c r="A61" s="1" t="str">
        <f t="shared" si="5"/>
        <v>11:21</v>
      </c>
      <c r="B61" s="77">
        <f t="shared" si="6"/>
        <v>45728</v>
      </c>
      <c r="C61" s="17" t="str">
        <f t="shared" si="4"/>
        <v>575358</v>
      </c>
      <c r="D61" s="1" t="str">
        <f t="shared" si="3"/>
        <v>Catherine EVRARD</v>
      </c>
      <c r="E61" s="20">
        <v>45728.473307291664</v>
      </c>
      <c r="F61" s="1" t="s">
        <v>246</v>
      </c>
      <c r="G61" s="1" t="s">
        <v>208</v>
      </c>
      <c r="H61" s="1" t="s">
        <v>193</v>
      </c>
      <c r="I61" s="1" t="s">
        <v>13</v>
      </c>
      <c r="J61" s="1" t="s">
        <v>14</v>
      </c>
      <c r="K61" s="25">
        <v>45728</v>
      </c>
      <c r="L61" s="23">
        <v>0.60416666666666596</v>
      </c>
      <c r="M61" s="32" t="s">
        <v>262</v>
      </c>
    </row>
    <row r="62" spans="1:13" s="1" customFormat="1" x14ac:dyDescent="0.25">
      <c r="A62" s="1" t="str">
        <f t="shared" si="5"/>
        <v>13:16</v>
      </c>
      <c r="B62" s="77">
        <f t="shared" si="6"/>
        <v>45728</v>
      </c>
      <c r="C62" s="17" t="str">
        <f t="shared" si="4"/>
        <v>1637269</v>
      </c>
      <c r="D62" s="1" t="str">
        <f t="shared" si="3"/>
        <v>Serge COULON</v>
      </c>
      <c r="E62" s="20">
        <v>45728.552921296294</v>
      </c>
      <c r="F62" s="1" t="s">
        <v>206</v>
      </c>
      <c r="G62" s="1" t="s">
        <v>208</v>
      </c>
      <c r="H62" s="1" t="s">
        <v>189</v>
      </c>
      <c r="I62" s="1" t="s">
        <v>13</v>
      </c>
      <c r="J62" s="1" t="s">
        <v>14</v>
      </c>
      <c r="K62" s="25">
        <v>45729</v>
      </c>
      <c r="L62" s="23">
        <v>0.60416666666666596</v>
      </c>
      <c r="M62" s="32" t="s">
        <v>263</v>
      </c>
    </row>
    <row r="63" spans="1:13" s="1" customFormat="1" x14ac:dyDescent="0.25">
      <c r="A63" s="1" t="str">
        <f t="shared" si="5"/>
        <v>13:59</v>
      </c>
      <c r="B63" s="77">
        <f t="shared" si="6"/>
        <v>45728</v>
      </c>
      <c r="C63" s="17" t="str">
        <f t="shared" si="4"/>
        <v>1670368</v>
      </c>
      <c r="D63" s="1" t="str">
        <f t="shared" si="3"/>
        <v>Pascal GIRARDI</v>
      </c>
      <c r="E63" s="20">
        <v>45728.582972569442</v>
      </c>
      <c r="F63" s="1" t="s">
        <v>264</v>
      </c>
      <c r="G63" s="1" t="s">
        <v>265</v>
      </c>
      <c r="H63" s="1" t="s">
        <v>193</v>
      </c>
      <c r="I63" s="1" t="s">
        <v>13</v>
      </c>
      <c r="J63" s="1" t="s">
        <v>14</v>
      </c>
      <c r="K63" s="25">
        <v>45728</v>
      </c>
      <c r="L63" s="23">
        <v>0.58333333333333304</v>
      </c>
      <c r="M63" s="32" t="s">
        <v>266</v>
      </c>
    </row>
    <row r="64" spans="1:13" s="1" customFormat="1" x14ac:dyDescent="0.25">
      <c r="A64" s="1" t="str">
        <f t="shared" si="5"/>
        <v>14:28</v>
      </c>
      <c r="B64" s="77">
        <f t="shared" si="6"/>
        <v>45728</v>
      </c>
      <c r="C64" s="17" t="str">
        <f t="shared" si="4"/>
        <v>1670368</v>
      </c>
      <c r="D64" s="1" t="str">
        <f t="shared" si="3"/>
        <v>Pascal GIRARDI</v>
      </c>
      <c r="E64" s="20">
        <v>45728.60343171296</v>
      </c>
      <c r="F64" s="1" t="s">
        <v>264</v>
      </c>
      <c r="G64" s="1" t="s">
        <v>265</v>
      </c>
      <c r="H64" s="1" t="s">
        <v>189</v>
      </c>
      <c r="I64" s="1" t="s">
        <v>13</v>
      </c>
      <c r="J64" s="1" t="s">
        <v>11</v>
      </c>
      <c r="K64" s="25" t="s">
        <v>218</v>
      </c>
      <c r="L64" s="23">
        <v>0</v>
      </c>
      <c r="M64" s="32" t="s">
        <v>267</v>
      </c>
    </row>
    <row r="65" spans="1:13" s="1" customFormat="1" x14ac:dyDescent="0.25">
      <c r="A65" s="1" t="str">
        <f t="shared" si="5"/>
        <v>16:37</v>
      </c>
      <c r="B65" s="77">
        <f t="shared" si="6"/>
        <v>45728</v>
      </c>
      <c r="C65" s="17" t="str">
        <f t="shared" si="4"/>
        <v>1507309</v>
      </c>
      <c r="D65" s="1" t="str">
        <f t="shared" si="3"/>
        <v>Christian RECURT</v>
      </c>
      <c r="E65" s="20">
        <v>45728.692570023151</v>
      </c>
      <c r="F65" s="1" t="s">
        <v>274</v>
      </c>
      <c r="G65" s="1" t="s">
        <v>181</v>
      </c>
      <c r="H65" s="1" t="s">
        <v>193</v>
      </c>
      <c r="I65" s="1" t="s">
        <v>14</v>
      </c>
      <c r="J65" s="1" t="s">
        <v>14</v>
      </c>
      <c r="K65" s="25">
        <v>45729</v>
      </c>
      <c r="L65" s="23">
        <v>0.4375</v>
      </c>
      <c r="M65" s="32" t="s">
        <v>275</v>
      </c>
    </row>
    <row r="66" spans="1:13" s="1" customFormat="1" x14ac:dyDescent="0.25">
      <c r="A66" s="1" t="str">
        <f t="shared" si="5"/>
        <v>-</v>
      </c>
      <c r="B66" s="77" t="str">
        <f t="shared" si="6"/>
        <v>-</v>
      </c>
      <c r="C66" s="17" t="str">
        <f t="shared" si="4"/>
        <v>-</v>
      </c>
      <c r="D66" s="1" t="str">
        <f t="shared" si="3"/>
        <v/>
      </c>
      <c r="E66" s="20"/>
      <c r="K66" s="25"/>
      <c r="L66" s="23"/>
      <c r="M66" s="32"/>
    </row>
    <row r="67" spans="1:13" s="1" customFormat="1" x14ac:dyDescent="0.25">
      <c r="A67" s="1" t="str">
        <f t="shared" si="5"/>
        <v>-</v>
      </c>
      <c r="B67" s="77" t="str">
        <f t="shared" si="6"/>
        <v>-</v>
      </c>
      <c r="C67" s="17" t="str">
        <f t="shared" si="4"/>
        <v>-</v>
      </c>
      <c r="D67" s="1" t="str">
        <f t="shared" si="3"/>
        <v/>
      </c>
      <c r="E67" s="20"/>
      <c r="K67" s="25"/>
      <c r="L67" s="23"/>
      <c r="M67" s="32"/>
    </row>
    <row r="68" spans="1:13" s="1" customFormat="1" x14ac:dyDescent="0.25">
      <c r="A68" s="1" t="str">
        <f t="shared" si="5"/>
        <v>-</v>
      </c>
      <c r="B68" s="77" t="str">
        <f t="shared" si="6"/>
        <v>-</v>
      </c>
      <c r="C68" s="17" t="str">
        <f t="shared" si="4"/>
        <v>-</v>
      </c>
      <c r="D68" s="1" t="str">
        <f t="shared" si="3"/>
        <v/>
      </c>
      <c r="E68" s="20"/>
      <c r="K68" s="25"/>
      <c r="L68" s="23"/>
      <c r="M68" s="32"/>
    </row>
    <row r="69" spans="1:13" s="1" customFormat="1" x14ac:dyDescent="0.25">
      <c r="A69" s="1" t="str">
        <f t="shared" si="5"/>
        <v>-</v>
      </c>
      <c r="B69" s="77" t="str">
        <f t="shared" si="6"/>
        <v>-</v>
      </c>
      <c r="C69" s="17" t="str">
        <f t="shared" si="4"/>
        <v>-</v>
      </c>
      <c r="D69" s="1" t="str">
        <f t="shared" si="3"/>
        <v/>
      </c>
      <c r="E69" s="20"/>
      <c r="K69" s="25"/>
      <c r="L69" s="23"/>
      <c r="M69" s="32"/>
    </row>
    <row r="70" spans="1:13" s="1" customFormat="1" x14ac:dyDescent="0.25">
      <c r="A70" s="1" t="str">
        <f t="shared" si="5"/>
        <v>-</v>
      </c>
      <c r="B70" s="77" t="str">
        <f t="shared" si="6"/>
        <v>-</v>
      </c>
      <c r="C70" s="17" t="str">
        <f t="shared" si="4"/>
        <v>-</v>
      </c>
      <c r="D70" s="1" t="str">
        <f t="shared" si="3"/>
        <v/>
      </c>
      <c r="E70" s="20"/>
      <c r="K70" s="25"/>
      <c r="L70" s="23"/>
      <c r="M70" s="32"/>
    </row>
    <row r="71" spans="1:13" s="1" customFormat="1" x14ac:dyDescent="0.25">
      <c r="A71" s="1" t="str">
        <f t="shared" si="5"/>
        <v>-</v>
      </c>
      <c r="B71" s="77" t="str">
        <f t="shared" si="6"/>
        <v>-</v>
      </c>
      <c r="C71" s="17" t="str">
        <f t="shared" si="4"/>
        <v>-</v>
      </c>
      <c r="D71" s="1" t="str">
        <f t="shared" si="3"/>
        <v/>
      </c>
      <c r="E71" s="20"/>
      <c r="K71" s="25"/>
      <c r="L71" s="23"/>
      <c r="M71" s="32"/>
    </row>
    <row r="72" spans="1:13" s="1" customFormat="1" x14ac:dyDescent="0.25">
      <c r="A72" s="1" t="str">
        <f t="shared" si="5"/>
        <v>-</v>
      </c>
      <c r="B72" s="77" t="str">
        <f t="shared" si="6"/>
        <v>-</v>
      </c>
      <c r="C72" s="17" t="str">
        <f t="shared" si="4"/>
        <v>-</v>
      </c>
      <c r="D72" s="1" t="str">
        <f t="shared" ref="D72:D135" si="7">IF(F72&lt;&gt;"",RIGHT(F72, LEN(F72) - FIND(" - ", F72) - 2),"")</f>
        <v/>
      </c>
      <c r="E72" s="20"/>
      <c r="K72" s="25"/>
      <c r="L72" s="23"/>
      <c r="M72" s="32"/>
    </row>
    <row r="73" spans="1:13" s="1" customFormat="1" x14ac:dyDescent="0.25">
      <c r="A73" s="1" t="str">
        <f t="shared" si="5"/>
        <v>-</v>
      </c>
      <c r="B73" s="77" t="str">
        <f t="shared" si="6"/>
        <v>-</v>
      </c>
      <c r="C73" s="17" t="str">
        <f t="shared" si="4"/>
        <v>-</v>
      </c>
      <c r="D73" s="1" t="str">
        <f t="shared" si="7"/>
        <v/>
      </c>
      <c r="E73" s="20"/>
      <c r="K73" s="25"/>
      <c r="L73" s="23"/>
      <c r="M73" s="32"/>
    </row>
    <row r="74" spans="1:13" s="1" customFormat="1" x14ac:dyDescent="0.25">
      <c r="A74" s="1" t="str">
        <f t="shared" si="5"/>
        <v>-</v>
      </c>
      <c r="B74" s="77" t="str">
        <f t="shared" si="6"/>
        <v>-</v>
      </c>
      <c r="C74" s="17" t="str">
        <f t="shared" si="4"/>
        <v>-</v>
      </c>
      <c r="D74" s="1" t="str">
        <f t="shared" si="7"/>
        <v/>
      </c>
      <c r="E74" s="20"/>
      <c r="K74" s="25"/>
      <c r="L74" s="23"/>
      <c r="M74" s="32"/>
    </row>
    <row r="75" spans="1:13" s="1" customFormat="1" x14ac:dyDescent="0.25">
      <c r="A75" s="1" t="str">
        <f t="shared" si="5"/>
        <v>-</v>
      </c>
      <c r="B75" s="77" t="str">
        <f t="shared" si="6"/>
        <v>-</v>
      </c>
      <c r="C75" s="17" t="str">
        <f t="shared" si="4"/>
        <v>-</v>
      </c>
      <c r="D75" s="1" t="str">
        <f t="shared" si="7"/>
        <v/>
      </c>
      <c r="E75" s="20"/>
      <c r="K75" s="25"/>
      <c r="L75" s="23"/>
      <c r="M75" s="32"/>
    </row>
    <row r="76" spans="1:13" s="1" customFormat="1" x14ac:dyDescent="0.25">
      <c r="A76" s="1" t="str">
        <f t="shared" si="5"/>
        <v>-</v>
      </c>
      <c r="B76" s="77" t="str">
        <f t="shared" si="6"/>
        <v>-</v>
      </c>
      <c r="C76" s="17" t="str">
        <f t="shared" si="4"/>
        <v>-</v>
      </c>
      <c r="D76" s="1" t="str">
        <f t="shared" si="7"/>
        <v/>
      </c>
      <c r="E76" s="20"/>
      <c r="K76" s="25"/>
      <c r="L76" s="23"/>
      <c r="M76" s="32"/>
    </row>
    <row r="77" spans="1:13" s="1" customFormat="1" x14ac:dyDescent="0.25">
      <c r="A77" s="1" t="str">
        <f t="shared" si="5"/>
        <v>-</v>
      </c>
      <c r="B77" s="77" t="str">
        <f t="shared" si="6"/>
        <v>-</v>
      </c>
      <c r="C77" s="17" t="str">
        <f t="shared" si="4"/>
        <v>-</v>
      </c>
      <c r="D77" s="1" t="str">
        <f t="shared" si="7"/>
        <v/>
      </c>
      <c r="E77" s="20"/>
      <c r="K77" s="25"/>
      <c r="L77" s="23"/>
      <c r="M77" s="32"/>
    </row>
    <row r="78" spans="1:13" s="1" customFormat="1" x14ac:dyDescent="0.25">
      <c r="A78" s="1" t="str">
        <f t="shared" si="5"/>
        <v>-</v>
      </c>
      <c r="B78" s="77" t="str">
        <f t="shared" si="6"/>
        <v>-</v>
      </c>
      <c r="C78" s="17" t="str">
        <f t="shared" si="4"/>
        <v>-</v>
      </c>
      <c r="D78" s="1" t="str">
        <f t="shared" si="7"/>
        <v/>
      </c>
      <c r="E78" s="20"/>
      <c r="K78" s="25"/>
      <c r="L78" s="23"/>
      <c r="M78" s="32"/>
    </row>
    <row r="79" spans="1:13" s="1" customFormat="1" x14ac:dyDescent="0.25">
      <c r="A79" s="1" t="str">
        <f t="shared" si="5"/>
        <v>-</v>
      </c>
      <c r="B79" s="77" t="str">
        <f t="shared" si="6"/>
        <v>-</v>
      </c>
      <c r="C79" s="17" t="str">
        <f t="shared" si="4"/>
        <v>-</v>
      </c>
      <c r="D79" s="1" t="str">
        <f t="shared" si="7"/>
        <v/>
      </c>
      <c r="E79" s="20"/>
      <c r="K79" s="25"/>
      <c r="L79" s="23"/>
      <c r="M79" s="32"/>
    </row>
    <row r="80" spans="1:13" s="1" customFormat="1" x14ac:dyDescent="0.25">
      <c r="A80" s="1" t="str">
        <f t="shared" si="5"/>
        <v>-</v>
      </c>
      <c r="B80" s="77" t="str">
        <f t="shared" si="6"/>
        <v>-</v>
      </c>
      <c r="C80" s="17" t="str">
        <f t="shared" si="4"/>
        <v>-</v>
      </c>
      <c r="D80" s="1" t="str">
        <f t="shared" si="7"/>
        <v/>
      </c>
      <c r="E80" s="20"/>
      <c r="K80" s="25"/>
      <c r="L80" s="23"/>
      <c r="M80" s="32"/>
    </row>
    <row r="81" spans="1:13" s="1" customFormat="1" x14ac:dyDescent="0.25">
      <c r="A81" s="1" t="str">
        <f t="shared" si="5"/>
        <v>-</v>
      </c>
      <c r="B81" s="77" t="str">
        <f t="shared" si="6"/>
        <v>-</v>
      </c>
      <c r="C81" s="17" t="str">
        <f t="shared" ref="C81:C144" si="8">IF(F81&lt;&gt;"", LEFT(RIGHT(F81, LEN(F81) - FIND("N°", F81) - 1), FIND(" ", RIGHT(F81, LEN(F81) - FIND("N°", F81) - 1) &amp; " ") - 1), "-")</f>
        <v>-</v>
      </c>
      <c r="D81" s="1" t="str">
        <f t="shared" si="7"/>
        <v/>
      </c>
      <c r="E81" s="20"/>
      <c r="K81" s="25"/>
      <c r="L81" s="23"/>
      <c r="M81" s="32"/>
    </row>
    <row r="82" spans="1:13" s="1" customFormat="1" x14ac:dyDescent="0.25">
      <c r="A82" s="1" t="str">
        <f t="shared" si="5"/>
        <v>-</v>
      </c>
      <c r="B82" s="77" t="str">
        <f t="shared" si="6"/>
        <v>-</v>
      </c>
      <c r="C82" s="17" t="str">
        <f t="shared" si="8"/>
        <v>-</v>
      </c>
      <c r="D82" s="1" t="str">
        <f t="shared" si="7"/>
        <v/>
      </c>
      <c r="E82" s="20"/>
      <c r="K82" s="25"/>
      <c r="L82" s="23"/>
      <c r="M82" s="32"/>
    </row>
    <row r="83" spans="1:13" s="1" customFormat="1" x14ac:dyDescent="0.25">
      <c r="A83" s="1" t="str">
        <f t="shared" si="5"/>
        <v>-</v>
      </c>
      <c r="B83" s="77" t="str">
        <f t="shared" si="6"/>
        <v>-</v>
      </c>
      <c r="C83" s="17" t="str">
        <f t="shared" si="8"/>
        <v>-</v>
      </c>
      <c r="D83" s="1" t="str">
        <f t="shared" si="7"/>
        <v/>
      </c>
      <c r="E83" s="20"/>
      <c r="K83" s="25"/>
      <c r="L83" s="23"/>
      <c r="M83" s="32"/>
    </row>
    <row r="84" spans="1:13" s="1" customFormat="1" x14ac:dyDescent="0.25">
      <c r="A84" s="1" t="str">
        <f t="shared" si="5"/>
        <v>-</v>
      </c>
      <c r="B84" s="77" t="str">
        <f t="shared" si="6"/>
        <v>-</v>
      </c>
      <c r="C84" s="17" t="str">
        <f t="shared" si="8"/>
        <v>-</v>
      </c>
      <c r="D84" s="1" t="str">
        <f t="shared" si="7"/>
        <v/>
      </c>
      <c r="E84" s="20"/>
      <c r="K84" s="25"/>
      <c r="L84" s="23"/>
      <c r="M84" s="32"/>
    </row>
    <row r="85" spans="1:13" s="1" customFormat="1" x14ac:dyDescent="0.25">
      <c r="A85" s="1" t="str">
        <f t="shared" ref="A85:A148" si="9">IF(E85&lt;&gt;"",TEXT(E85, "hh:mm"),"-")</f>
        <v>-</v>
      </c>
      <c r="B85" s="77" t="str">
        <f t="shared" ref="B85:B148" si="10">IF(E85&lt;&gt;"",DATE(YEAR(E85),MONTH(E85), DAY(E85)),"-")</f>
        <v>-</v>
      </c>
      <c r="C85" s="17" t="str">
        <f t="shared" si="8"/>
        <v>-</v>
      </c>
      <c r="D85" s="1" t="str">
        <f t="shared" si="7"/>
        <v/>
      </c>
      <c r="E85" s="20"/>
      <c r="K85" s="25"/>
      <c r="L85" s="23"/>
      <c r="M85" s="32"/>
    </row>
    <row r="86" spans="1:13" s="1" customFormat="1" x14ac:dyDescent="0.25">
      <c r="A86" s="1" t="str">
        <f t="shared" si="9"/>
        <v>-</v>
      </c>
      <c r="B86" s="77" t="str">
        <f t="shared" si="10"/>
        <v>-</v>
      </c>
      <c r="C86" s="17" t="str">
        <f t="shared" si="8"/>
        <v>-</v>
      </c>
      <c r="D86" s="1" t="str">
        <f t="shared" si="7"/>
        <v/>
      </c>
      <c r="E86" s="20"/>
      <c r="K86" s="25"/>
      <c r="L86" s="23"/>
      <c r="M86" s="32"/>
    </row>
    <row r="87" spans="1:13" s="1" customFormat="1" x14ac:dyDescent="0.25">
      <c r="A87" s="1" t="str">
        <f t="shared" si="9"/>
        <v>-</v>
      </c>
      <c r="B87" s="77" t="str">
        <f t="shared" si="10"/>
        <v>-</v>
      </c>
      <c r="C87" s="17" t="str">
        <f t="shared" si="8"/>
        <v>-</v>
      </c>
      <c r="D87" s="1" t="str">
        <f t="shared" si="7"/>
        <v/>
      </c>
      <c r="E87" s="20"/>
      <c r="K87" s="25"/>
      <c r="L87" s="23"/>
      <c r="M87" s="32"/>
    </row>
    <row r="88" spans="1:13" s="1" customFormat="1" x14ac:dyDescent="0.25">
      <c r="A88" s="1" t="str">
        <f t="shared" si="9"/>
        <v>-</v>
      </c>
      <c r="B88" s="77" t="str">
        <f t="shared" si="10"/>
        <v>-</v>
      </c>
      <c r="C88" s="17" t="str">
        <f t="shared" si="8"/>
        <v>-</v>
      </c>
      <c r="D88" s="1" t="str">
        <f t="shared" si="7"/>
        <v/>
      </c>
      <c r="E88" s="20"/>
      <c r="K88" s="25"/>
      <c r="L88" s="23"/>
      <c r="M88" s="32"/>
    </row>
    <row r="89" spans="1:13" s="1" customFormat="1" x14ac:dyDescent="0.25">
      <c r="A89" s="1" t="str">
        <f t="shared" si="9"/>
        <v>-</v>
      </c>
      <c r="B89" s="77" t="str">
        <f t="shared" si="10"/>
        <v>-</v>
      </c>
      <c r="C89" s="17" t="str">
        <f t="shared" si="8"/>
        <v>-</v>
      </c>
      <c r="D89" s="1" t="str">
        <f t="shared" si="7"/>
        <v/>
      </c>
      <c r="E89" s="20"/>
      <c r="K89" s="25"/>
      <c r="L89" s="23"/>
      <c r="M89" s="32"/>
    </row>
    <row r="90" spans="1:13" s="1" customFormat="1" x14ac:dyDescent="0.25">
      <c r="A90" s="1" t="str">
        <f t="shared" si="9"/>
        <v>-</v>
      </c>
      <c r="B90" s="77" t="str">
        <f t="shared" si="10"/>
        <v>-</v>
      </c>
      <c r="C90" s="17" t="str">
        <f t="shared" si="8"/>
        <v>-</v>
      </c>
      <c r="D90" s="1" t="str">
        <f t="shared" si="7"/>
        <v/>
      </c>
      <c r="E90" s="20"/>
      <c r="K90" s="25"/>
      <c r="L90" s="23"/>
      <c r="M90" s="32"/>
    </row>
    <row r="91" spans="1:13" s="1" customFormat="1" x14ac:dyDescent="0.25">
      <c r="A91" s="1" t="str">
        <f t="shared" si="9"/>
        <v>-</v>
      </c>
      <c r="B91" s="77" t="str">
        <f t="shared" si="10"/>
        <v>-</v>
      </c>
      <c r="C91" s="17" t="str">
        <f t="shared" si="8"/>
        <v>-</v>
      </c>
      <c r="D91" s="1" t="str">
        <f t="shared" si="7"/>
        <v/>
      </c>
      <c r="E91" s="20"/>
      <c r="K91" s="25"/>
      <c r="L91" s="23"/>
      <c r="M91" s="32"/>
    </row>
    <row r="92" spans="1:13" s="1" customFormat="1" x14ac:dyDescent="0.25">
      <c r="A92" s="1" t="str">
        <f t="shared" si="9"/>
        <v>-</v>
      </c>
      <c r="B92" s="77" t="str">
        <f t="shared" si="10"/>
        <v>-</v>
      </c>
      <c r="C92" s="17" t="str">
        <f t="shared" si="8"/>
        <v>-</v>
      </c>
      <c r="D92" s="1" t="str">
        <f t="shared" si="7"/>
        <v/>
      </c>
      <c r="E92" s="20"/>
      <c r="K92" s="25"/>
      <c r="L92" s="23"/>
      <c r="M92" s="32"/>
    </row>
    <row r="93" spans="1:13" s="1" customFormat="1" x14ac:dyDescent="0.25">
      <c r="A93" s="1" t="str">
        <f t="shared" si="9"/>
        <v>-</v>
      </c>
      <c r="B93" s="77" t="str">
        <f t="shared" si="10"/>
        <v>-</v>
      </c>
      <c r="C93" s="17" t="str">
        <f t="shared" si="8"/>
        <v>-</v>
      </c>
      <c r="D93" s="1" t="str">
        <f t="shared" si="7"/>
        <v/>
      </c>
      <c r="E93" s="20"/>
      <c r="K93" s="25"/>
      <c r="L93" s="23"/>
      <c r="M93" s="32"/>
    </row>
    <row r="94" spans="1:13" s="1" customFormat="1" x14ac:dyDescent="0.25">
      <c r="A94" s="1" t="str">
        <f t="shared" si="9"/>
        <v>-</v>
      </c>
      <c r="B94" s="77" t="str">
        <f t="shared" si="10"/>
        <v>-</v>
      </c>
      <c r="C94" s="17" t="str">
        <f t="shared" si="8"/>
        <v>-</v>
      </c>
      <c r="D94" s="1" t="str">
        <f t="shared" si="7"/>
        <v/>
      </c>
      <c r="E94" s="20"/>
      <c r="K94" s="25"/>
      <c r="L94" s="23"/>
      <c r="M94" s="32"/>
    </row>
    <row r="95" spans="1:13" s="1" customFormat="1" x14ac:dyDescent="0.25">
      <c r="A95" s="1" t="str">
        <f t="shared" si="9"/>
        <v>-</v>
      </c>
      <c r="B95" s="77" t="str">
        <f t="shared" si="10"/>
        <v>-</v>
      </c>
      <c r="C95" s="17" t="str">
        <f t="shared" si="8"/>
        <v>-</v>
      </c>
      <c r="D95" s="1" t="str">
        <f t="shared" si="7"/>
        <v/>
      </c>
      <c r="E95" s="20"/>
      <c r="K95" s="25"/>
      <c r="L95" s="23"/>
      <c r="M95" s="32"/>
    </row>
    <row r="96" spans="1:13" s="1" customFormat="1" x14ac:dyDescent="0.25">
      <c r="A96" s="1" t="str">
        <f t="shared" si="9"/>
        <v>-</v>
      </c>
      <c r="B96" s="77" t="str">
        <f t="shared" si="10"/>
        <v>-</v>
      </c>
      <c r="C96" s="17" t="str">
        <f t="shared" si="8"/>
        <v>-</v>
      </c>
      <c r="D96" s="1" t="str">
        <f t="shared" si="7"/>
        <v/>
      </c>
      <c r="E96" s="20"/>
      <c r="K96" s="25"/>
      <c r="L96" s="23"/>
      <c r="M96" s="32"/>
    </row>
    <row r="97" spans="1:13" s="1" customFormat="1" x14ac:dyDescent="0.25">
      <c r="A97" s="1" t="str">
        <f t="shared" si="9"/>
        <v>-</v>
      </c>
      <c r="B97" s="77" t="str">
        <f t="shared" si="10"/>
        <v>-</v>
      </c>
      <c r="C97" s="17" t="str">
        <f t="shared" si="8"/>
        <v>-</v>
      </c>
      <c r="D97" s="1" t="str">
        <f t="shared" si="7"/>
        <v/>
      </c>
      <c r="E97" s="20"/>
      <c r="K97" s="25"/>
      <c r="L97" s="23"/>
      <c r="M97" s="32"/>
    </row>
    <row r="98" spans="1:13" s="1" customFormat="1" x14ac:dyDescent="0.25">
      <c r="A98" s="1" t="str">
        <f t="shared" si="9"/>
        <v>-</v>
      </c>
      <c r="B98" s="77" t="str">
        <f t="shared" si="10"/>
        <v>-</v>
      </c>
      <c r="C98" s="17" t="str">
        <f t="shared" si="8"/>
        <v>-</v>
      </c>
      <c r="D98" s="1" t="str">
        <f t="shared" si="7"/>
        <v/>
      </c>
      <c r="E98" s="20"/>
      <c r="K98" s="25"/>
      <c r="L98" s="23"/>
      <c r="M98" s="32"/>
    </row>
    <row r="99" spans="1:13" s="1" customFormat="1" x14ac:dyDescent="0.25">
      <c r="A99" s="1" t="str">
        <f t="shared" si="9"/>
        <v>-</v>
      </c>
      <c r="B99" s="77" t="str">
        <f t="shared" si="10"/>
        <v>-</v>
      </c>
      <c r="C99" s="17" t="str">
        <f t="shared" si="8"/>
        <v>-</v>
      </c>
      <c r="D99" s="1" t="str">
        <f t="shared" si="7"/>
        <v/>
      </c>
      <c r="E99" s="20"/>
      <c r="K99" s="25"/>
      <c r="L99" s="23"/>
      <c r="M99" s="32"/>
    </row>
    <row r="100" spans="1:13" s="1" customFormat="1" x14ac:dyDescent="0.25">
      <c r="A100" s="1" t="str">
        <f t="shared" si="9"/>
        <v>-</v>
      </c>
      <c r="B100" s="77" t="str">
        <f t="shared" si="10"/>
        <v>-</v>
      </c>
      <c r="C100" s="17" t="str">
        <f t="shared" si="8"/>
        <v>-</v>
      </c>
      <c r="D100" s="1" t="str">
        <f t="shared" si="7"/>
        <v/>
      </c>
      <c r="E100" s="20"/>
      <c r="K100" s="25"/>
      <c r="L100" s="23"/>
      <c r="M100" s="32"/>
    </row>
    <row r="101" spans="1:13" s="1" customFormat="1" x14ac:dyDescent="0.25">
      <c r="A101" s="1" t="str">
        <f t="shared" si="9"/>
        <v>-</v>
      </c>
      <c r="B101" s="77" t="str">
        <f t="shared" si="10"/>
        <v>-</v>
      </c>
      <c r="C101" s="17" t="str">
        <f t="shared" si="8"/>
        <v>-</v>
      </c>
      <c r="D101" s="1" t="str">
        <f t="shared" si="7"/>
        <v/>
      </c>
      <c r="E101" s="20"/>
      <c r="K101" s="25"/>
      <c r="L101" s="23"/>
      <c r="M101" s="32"/>
    </row>
    <row r="102" spans="1:13" s="1" customFormat="1" x14ac:dyDescent="0.25">
      <c r="A102" s="1" t="str">
        <f t="shared" si="9"/>
        <v>-</v>
      </c>
      <c r="B102" s="77" t="str">
        <f t="shared" si="10"/>
        <v>-</v>
      </c>
      <c r="C102" s="17" t="str">
        <f t="shared" si="8"/>
        <v>-</v>
      </c>
      <c r="D102" s="1" t="str">
        <f t="shared" si="7"/>
        <v/>
      </c>
      <c r="E102" s="20"/>
      <c r="K102" s="25"/>
      <c r="L102" s="23"/>
      <c r="M102" s="32"/>
    </row>
    <row r="103" spans="1:13" s="1" customFormat="1" x14ac:dyDescent="0.25">
      <c r="A103" s="1" t="str">
        <f t="shared" si="9"/>
        <v>-</v>
      </c>
      <c r="B103" s="77" t="str">
        <f t="shared" si="10"/>
        <v>-</v>
      </c>
      <c r="C103" s="17" t="str">
        <f t="shared" si="8"/>
        <v>-</v>
      </c>
      <c r="D103" s="1" t="str">
        <f t="shared" si="7"/>
        <v/>
      </c>
      <c r="E103" s="20"/>
      <c r="K103" s="25"/>
      <c r="L103" s="23"/>
      <c r="M103" s="32"/>
    </row>
    <row r="104" spans="1:13" s="1" customFormat="1" x14ac:dyDescent="0.25">
      <c r="A104" s="1" t="str">
        <f t="shared" si="9"/>
        <v>-</v>
      </c>
      <c r="B104" s="77" t="str">
        <f t="shared" si="10"/>
        <v>-</v>
      </c>
      <c r="C104" s="17" t="str">
        <f t="shared" si="8"/>
        <v>-</v>
      </c>
      <c r="D104" s="1" t="str">
        <f t="shared" si="7"/>
        <v/>
      </c>
      <c r="E104" s="20"/>
      <c r="K104" s="25"/>
      <c r="L104" s="23"/>
      <c r="M104" s="32"/>
    </row>
    <row r="105" spans="1:13" s="1" customFormat="1" x14ac:dyDescent="0.25">
      <c r="A105" s="1" t="str">
        <f t="shared" si="9"/>
        <v>-</v>
      </c>
      <c r="B105" s="77" t="str">
        <f t="shared" si="10"/>
        <v>-</v>
      </c>
      <c r="C105" s="17" t="str">
        <f t="shared" si="8"/>
        <v>-</v>
      </c>
      <c r="D105" s="1" t="str">
        <f t="shared" si="7"/>
        <v/>
      </c>
      <c r="E105" s="20"/>
      <c r="K105" s="25"/>
      <c r="L105" s="23"/>
      <c r="M105" s="32"/>
    </row>
    <row r="106" spans="1:13" s="1" customFormat="1" x14ac:dyDescent="0.25">
      <c r="A106" s="1" t="str">
        <f t="shared" si="9"/>
        <v>-</v>
      </c>
      <c r="B106" s="77" t="str">
        <f t="shared" si="10"/>
        <v>-</v>
      </c>
      <c r="C106" s="17" t="str">
        <f t="shared" si="8"/>
        <v>-</v>
      </c>
      <c r="D106" s="1" t="str">
        <f t="shared" si="7"/>
        <v/>
      </c>
      <c r="E106" s="20"/>
      <c r="K106" s="25"/>
      <c r="L106" s="23"/>
      <c r="M106" s="32"/>
    </row>
    <row r="107" spans="1:13" s="1" customFormat="1" x14ac:dyDescent="0.25">
      <c r="A107" s="1" t="str">
        <f t="shared" si="9"/>
        <v>-</v>
      </c>
      <c r="B107" s="77" t="str">
        <f t="shared" si="10"/>
        <v>-</v>
      </c>
      <c r="C107" s="17" t="str">
        <f t="shared" si="8"/>
        <v>-</v>
      </c>
      <c r="D107" s="1" t="str">
        <f t="shared" si="7"/>
        <v/>
      </c>
      <c r="E107" s="20"/>
      <c r="K107" s="25"/>
      <c r="L107" s="23"/>
      <c r="M107" s="32"/>
    </row>
    <row r="108" spans="1:13" s="1" customFormat="1" x14ac:dyDescent="0.25">
      <c r="A108" s="1" t="str">
        <f t="shared" si="9"/>
        <v>-</v>
      </c>
      <c r="B108" s="77" t="str">
        <f t="shared" si="10"/>
        <v>-</v>
      </c>
      <c r="C108" s="17" t="str">
        <f t="shared" si="8"/>
        <v>-</v>
      </c>
      <c r="D108" s="1" t="str">
        <f t="shared" si="7"/>
        <v/>
      </c>
      <c r="E108" s="20"/>
      <c r="K108" s="25"/>
      <c r="L108" s="23"/>
      <c r="M108" s="32"/>
    </row>
    <row r="109" spans="1:13" s="1" customFormat="1" x14ac:dyDescent="0.25">
      <c r="A109" s="1" t="str">
        <f t="shared" si="9"/>
        <v>-</v>
      </c>
      <c r="B109" s="77" t="str">
        <f t="shared" si="10"/>
        <v>-</v>
      </c>
      <c r="C109" s="17" t="str">
        <f t="shared" si="8"/>
        <v>-</v>
      </c>
      <c r="D109" s="1" t="str">
        <f t="shared" si="7"/>
        <v/>
      </c>
      <c r="E109" s="20"/>
      <c r="K109" s="25"/>
      <c r="L109" s="23"/>
      <c r="M109" s="32"/>
    </row>
    <row r="110" spans="1:13" s="1" customFormat="1" x14ac:dyDescent="0.25">
      <c r="A110" s="1" t="str">
        <f t="shared" si="9"/>
        <v>-</v>
      </c>
      <c r="B110" s="77" t="str">
        <f t="shared" si="10"/>
        <v>-</v>
      </c>
      <c r="C110" s="17" t="str">
        <f t="shared" si="8"/>
        <v>-</v>
      </c>
      <c r="D110" s="1" t="str">
        <f t="shared" si="7"/>
        <v/>
      </c>
      <c r="E110" s="20"/>
      <c r="K110" s="25"/>
      <c r="L110" s="23"/>
      <c r="M110" s="32"/>
    </row>
    <row r="111" spans="1:13" s="1" customFormat="1" x14ac:dyDescent="0.25">
      <c r="A111" s="1" t="str">
        <f t="shared" si="9"/>
        <v>-</v>
      </c>
      <c r="B111" s="77" t="str">
        <f t="shared" si="10"/>
        <v>-</v>
      </c>
      <c r="C111" s="17" t="str">
        <f t="shared" si="8"/>
        <v>-</v>
      </c>
      <c r="D111" s="1" t="str">
        <f t="shared" si="7"/>
        <v/>
      </c>
      <c r="E111" s="20"/>
      <c r="K111" s="25"/>
      <c r="L111" s="23"/>
      <c r="M111" s="32"/>
    </row>
    <row r="112" spans="1:13" s="1" customFormat="1" x14ac:dyDescent="0.25">
      <c r="A112" s="1" t="str">
        <f t="shared" si="9"/>
        <v>-</v>
      </c>
      <c r="B112" s="77" t="str">
        <f t="shared" si="10"/>
        <v>-</v>
      </c>
      <c r="C112" s="17" t="str">
        <f t="shared" si="8"/>
        <v>-</v>
      </c>
      <c r="D112" s="1" t="str">
        <f t="shared" si="7"/>
        <v/>
      </c>
      <c r="E112" s="20"/>
      <c r="K112" s="25"/>
      <c r="L112" s="23"/>
      <c r="M112" s="32"/>
    </row>
    <row r="113" spans="1:13" s="1" customFormat="1" x14ac:dyDescent="0.25">
      <c r="A113" s="1" t="str">
        <f t="shared" si="9"/>
        <v>-</v>
      </c>
      <c r="B113" s="77" t="str">
        <f t="shared" si="10"/>
        <v>-</v>
      </c>
      <c r="C113" s="17" t="str">
        <f t="shared" si="8"/>
        <v>-</v>
      </c>
      <c r="D113" s="1" t="str">
        <f t="shared" si="7"/>
        <v/>
      </c>
      <c r="E113" s="20"/>
      <c r="K113" s="25"/>
      <c r="L113" s="23"/>
      <c r="M113" s="32"/>
    </row>
    <row r="114" spans="1:13" s="1" customFormat="1" x14ac:dyDescent="0.25">
      <c r="A114" s="1" t="str">
        <f t="shared" si="9"/>
        <v>-</v>
      </c>
      <c r="B114" s="77" t="str">
        <f t="shared" si="10"/>
        <v>-</v>
      </c>
      <c r="C114" s="17" t="str">
        <f t="shared" si="8"/>
        <v>-</v>
      </c>
      <c r="D114" s="1" t="str">
        <f t="shared" si="7"/>
        <v/>
      </c>
      <c r="E114" s="20"/>
      <c r="K114" s="25"/>
      <c r="L114" s="23"/>
      <c r="M114" s="32"/>
    </row>
    <row r="115" spans="1:13" s="1" customFormat="1" x14ac:dyDescent="0.25">
      <c r="A115" s="1" t="str">
        <f t="shared" si="9"/>
        <v>-</v>
      </c>
      <c r="B115" s="77" t="str">
        <f t="shared" si="10"/>
        <v>-</v>
      </c>
      <c r="C115" s="17" t="str">
        <f t="shared" si="8"/>
        <v>-</v>
      </c>
      <c r="D115" s="1" t="str">
        <f t="shared" si="7"/>
        <v/>
      </c>
      <c r="E115" s="20"/>
      <c r="K115" s="25"/>
      <c r="L115" s="23"/>
      <c r="M115" s="32"/>
    </row>
    <row r="116" spans="1:13" s="1" customFormat="1" x14ac:dyDescent="0.25">
      <c r="A116" s="1" t="str">
        <f t="shared" si="9"/>
        <v>-</v>
      </c>
      <c r="B116" s="77" t="str">
        <f t="shared" si="10"/>
        <v>-</v>
      </c>
      <c r="C116" s="17" t="str">
        <f t="shared" si="8"/>
        <v>-</v>
      </c>
      <c r="D116" s="1" t="str">
        <f t="shared" si="7"/>
        <v/>
      </c>
      <c r="E116" s="20"/>
      <c r="K116" s="25"/>
      <c r="L116" s="23"/>
      <c r="M116" s="32"/>
    </row>
    <row r="117" spans="1:13" s="1" customFormat="1" x14ac:dyDescent="0.25">
      <c r="A117" s="1" t="str">
        <f t="shared" si="9"/>
        <v>-</v>
      </c>
      <c r="B117" s="77" t="str">
        <f t="shared" si="10"/>
        <v>-</v>
      </c>
      <c r="C117" s="17" t="str">
        <f t="shared" si="8"/>
        <v>-</v>
      </c>
      <c r="D117" s="1" t="str">
        <f t="shared" si="7"/>
        <v/>
      </c>
      <c r="E117" s="20"/>
      <c r="K117" s="25"/>
      <c r="L117" s="23"/>
      <c r="M117" s="32"/>
    </row>
    <row r="118" spans="1:13" s="1" customFormat="1" x14ac:dyDescent="0.25">
      <c r="A118" s="1" t="str">
        <f t="shared" si="9"/>
        <v>-</v>
      </c>
      <c r="B118" s="77" t="str">
        <f t="shared" si="10"/>
        <v>-</v>
      </c>
      <c r="C118" s="17" t="str">
        <f t="shared" si="8"/>
        <v>-</v>
      </c>
      <c r="D118" s="1" t="str">
        <f t="shared" si="7"/>
        <v/>
      </c>
      <c r="E118" s="20"/>
      <c r="K118" s="25"/>
      <c r="L118" s="23"/>
      <c r="M118" s="32"/>
    </row>
    <row r="119" spans="1:13" s="1" customFormat="1" x14ac:dyDescent="0.25">
      <c r="A119" s="1" t="str">
        <f t="shared" si="9"/>
        <v>-</v>
      </c>
      <c r="B119" s="77" t="str">
        <f t="shared" si="10"/>
        <v>-</v>
      </c>
      <c r="C119" s="17" t="str">
        <f t="shared" si="8"/>
        <v>-</v>
      </c>
      <c r="D119" s="1" t="str">
        <f t="shared" si="7"/>
        <v/>
      </c>
      <c r="E119" s="20"/>
      <c r="K119" s="25"/>
      <c r="L119" s="23"/>
      <c r="M119" s="32"/>
    </row>
    <row r="120" spans="1:13" s="1" customFormat="1" x14ac:dyDescent="0.25">
      <c r="A120" s="1" t="str">
        <f t="shared" si="9"/>
        <v>-</v>
      </c>
      <c r="B120" s="77" t="str">
        <f t="shared" si="10"/>
        <v>-</v>
      </c>
      <c r="C120" s="17" t="str">
        <f t="shared" si="8"/>
        <v>-</v>
      </c>
      <c r="D120" s="1" t="str">
        <f t="shared" si="7"/>
        <v/>
      </c>
      <c r="E120" s="20"/>
      <c r="K120" s="25"/>
      <c r="L120" s="23"/>
      <c r="M120" s="32"/>
    </row>
    <row r="121" spans="1:13" s="1" customFormat="1" x14ac:dyDescent="0.25">
      <c r="A121" s="1" t="str">
        <f t="shared" si="9"/>
        <v>-</v>
      </c>
      <c r="B121" s="77" t="str">
        <f t="shared" si="10"/>
        <v>-</v>
      </c>
      <c r="C121" s="17" t="str">
        <f t="shared" si="8"/>
        <v>-</v>
      </c>
      <c r="D121" s="1" t="str">
        <f t="shared" si="7"/>
        <v/>
      </c>
      <c r="E121" s="20"/>
      <c r="K121" s="25"/>
      <c r="L121" s="23"/>
      <c r="M121" s="32"/>
    </row>
    <row r="122" spans="1:13" s="1" customFormat="1" x14ac:dyDescent="0.25">
      <c r="A122" s="1" t="str">
        <f t="shared" si="9"/>
        <v>-</v>
      </c>
      <c r="B122" s="77" t="str">
        <f t="shared" si="10"/>
        <v>-</v>
      </c>
      <c r="C122" s="17" t="str">
        <f t="shared" si="8"/>
        <v>-</v>
      </c>
      <c r="D122" s="1" t="str">
        <f t="shared" si="7"/>
        <v/>
      </c>
      <c r="E122" s="20"/>
      <c r="K122" s="25"/>
      <c r="L122" s="23"/>
      <c r="M122" s="32"/>
    </row>
    <row r="123" spans="1:13" s="1" customFormat="1" x14ac:dyDescent="0.25">
      <c r="A123" s="1" t="str">
        <f t="shared" si="9"/>
        <v>-</v>
      </c>
      <c r="B123" s="77" t="str">
        <f t="shared" si="10"/>
        <v>-</v>
      </c>
      <c r="C123" s="17" t="str">
        <f t="shared" si="8"/>
        <v>-</v>
      </c>
      <c r="D123" s="1" t="str">
        <f t="shared" si="7"/>
        <v/>
      </c>
      <c r="E123" s="20"/>
      <c r="K123" s="25"/>
      <c r="L123" s="23"/>
      <c r="M123" s="32"/>
    </row>
    <row r="124" spans="1:13" s="1" customFormat="1" x14ac:dyDescent="0.25">
      <c r="A124" s="1" t="str">
        <f t="shared" si="9"/>
        <v>-</v>
      </c>
      <c r="B124" s="77" t="str">
        <f t="shared" si="10"/>
        <v>-</v>
      </c>
      <c r="C124" s="17" t="str">
        <f t="shared" si="8"/>
        <v>-</v>
      </c>
      <c r="D124" s="1" t="str">
        <f t="shared" si="7"/>
        <v/>
      </c>
      <c r="E124" s="20"/>
      <c r="K124" s="25"/>
      <c r="L124" s="23"/>
      <c r="M124" s="32"/>
    </row>
    <row r="125" spans="1:13" s="1" customFormat="1" x14ac:dyDescent="0.25">
      <c r="A125" s="1" t="str">
        <f t="shared" si="9"/>
        <v>-</v>
      </c>
      <c r="B125" s="77" t="str">
        <f t="shared" si="10"/>
        <v>-</v>
      </c>
      <c r="C125" s="17" t="str">
        <f t="shared" si="8"/>
        <v>-</v>
      </c>
      <c r="D125" s="1" t="str">
        <f t="shared" si="7"/>
        <v/>
      </c>
      <c r="E125" s="20"/>
      <c r="K125" s="25"/>
      <c r="L125" s="23"/>
      <c r="M125" s="32"/>
    </row>
    <row r="126" spans="1:13" s="1" customFormat="1" x14ac:dyDescent="0.25">
      <c r="A126" s="1" t="str">
        <f t="shared" si="9"/>
        <v>-</v>
      </c>
      <c r="B126" s="77" t="str">
        <f t="shared" si="10"/>
        <v>-</v>
      </c>
      <c r="C126" s="17" t="str">
        <f t="shared" si="8"/>
        <v>-</v>
      </c>
      <c r="D126" s="1" t="str">
        <f t="shared" si="7"/>
        <v/>
      </c>
      <c r="E126" s="20"/>
      <c r="K126" s="25"/>
      <c r="L126" s="23"/>
      <c r="M126" s="32"/>
    </row>
    <row r="127" spans="1:13" s="1" customFormat="1" x14ac:dyDescent="0.25">
      <c r="A127" s="1" t="str">
        <f t="shared" si="9"/>
        <v>-</v>
      </c>
      <c r="B127" s="77" t="str">
        <f t="shared" si="10"/>
        <v>-</v>
      </c>
      <c r="C127" s="17" t="str">
        <f t="shared" si="8"/>
        <v>-</v>
      </c>
      <c r="D127" s="1" t="str">
        <f t="shared" si="7"/>
        <v/>
      </c>
      <c r="E127" s="20"/>
      <c r="K127" s="25"/>
      <c r="L127" s="23"/>
      <c r="M127" s="32"/>
    </row>
    <row r="128" spans="1:13" s="1" customFormat="1" x14ac:dyDescent="0.25">
      <c r="A128" s="1" t="str">
        <f t="shared" si="9"/>
        <v>-</v>
      </c>
      <c r="B128" s="77" t="str">
        <f t="shared" si="10"/>
        <v>-</v>
      </c>
      <c r="C128" s="17" t="str">
        <f t="shared" si="8"/>
        <v>-</v>
      </c>
      <c r="D128" s="1" t="str">
        <f t="shared" si="7"/>
        <v/>
      </c>
      <c r="E128" s="20"/>
      <c r="K128" s="25"/>
      <c r="L128" s="23"/>
      <c r="M128" s="32"/>
    </row>
    <row r="129" spans="1:13" s="1" customFormat="1" x14ac:dyDescent="0.25">
      <c r="A129" s="1" t="str">
        <f t="shared" si="9"/>
        <v>-</v>
      </c>
      <c r="B129" s="77" t="str">
        <f t="shared" si="10"/>
        <v>-</v>
      </c>
      <c r="C129" s="17" t="str">
        <f t="shared" si="8"/>
        <v>-</v>
      </c>
      <c r="D129" s="1" t="str">
        <f t="shared" si="7"/>
        <v/>
      </c>
      <c r="E129" s="20"/>
      <c r="K129" s="25"/>
      <c r="L129" s="23"/>
      <c r="M129" s="32"/>
    </row>
    <row r="130" spans="1:13" s="1" customFormat="1" x14ac:dyDescent="0.25">
      <c r="A130" s="1" t="str">
        <f t="shared" si="9"/>
        <v>-</v>
      </c>
      <c r="B130" s="77" t="str">
        <f t="shared" si="10"/>
        <v>-</v>
      </c>
      <c r="C130" s="17" t="str">
        <f t="shared" si="8"/>
        <v>-</v>
      </c>
      <c r="D130" s="1" t="str">
        <f t="shared" si="7"/>
        <v/>
      </c>
      <c r="E130" s="20"/>
      <c r="K130" s="25"/>
      <c r="L130" s="23"/>
      <c r="M130" s="32"/>
    </row>
    <row r="131" spans="1:13" s="1" customFormat="1" x14ac:dyDescent="0.25">
      <c r="A131" s="1" t="str">
        <f t="shared" si="9"/>
        <v>-</v>
      </c>
      <c r="B131" s="77" t="str">
        <f t="shared" si="10"/>
        <v>-</v>
      </c>
      <c r="C131" s="17" t="str">
        <f t="shared" si="8"/>
        <v>-</v>
      </c>
      <c r="D131" s="1" t="str">
        <f t="shared" si="7"/>
        <v/>
      </c>
      <c r="E131" s="20"/>
      <c r="K131" s="25"/>
      <c r="L131" s="23"/>
      <c r="M131" s="32"/>
    </row>
    <row r="132" spans="1:13" s="1" customFormat="1" x14ac:dyDescent="0.25">
      <c r="A132" s="1" t="str">
        <f t="shared" si="9"/>
        <v>-</v>
      </c>
      <c r="B132" s="77" t="str">
        <f t="shared" si="10"/>
        <v>-</v>
      </c>
      <c r="C132" s="17" t="str">
        <f t="shared" si="8"/>
        <v>-</v>
      </c>
      <c r="D132" s="1" t="str">
        <f t="shared" si="7"/>
        <v/>
      </c>
      <c r="E132" s="20"/>
      <c r="K132" s="25"/>
      <c r="L132" s="23"/>
      <c r="M132" s="32"/>
    </row>
    <row r="133" spans="1:13" s="1" customFormat="1" x14ac:dyDescent="0.25">
      <c r="A133" s="1" t="str">
        <f t="shared" si="9"/>
        <v>-</v>
      </c>
      <c r="B133" s="77" t="str">
        <f t="shared" si="10"/>
        <v>-</v>
      </c>
      <c r="C133" s="17" t="str">
        <f t="shared" si="8"/>
        <v>-</v>
      </c>
      <c r="D133" s="1" t="str">
        <f t="shared" si="7"/>
        <v/>
      </c>
      <c r="E133" s="20"/>
      <c r="K133" s="25"/>
      <c r="L133" s="23"/>
      <c r="M133" s="32"/>
    </row>
    <row r="134" spans="1:13" s="1" customFormat="1" x14ac:dyDescent="0.25">
      <c r="A134" s="1" t="str">
        <f t="shared" si="9"/>
        <v>-</v>
      </c>
      <c r="B134" s="77" t="str">
        <f t="shared" si="10"/>
        <v>-</v>
      </c>
      <c r="C134" s="17" t="str">
        <f t="shared" si="8"/>
        <v>-</v>
      </c>
      <c r="D134" s="1" t="str">
        <f t="shared" si="7"/>
        <v/>
      </c>
      <c r="E134" s="20"/>
      <c r="K134" s="25"/>
      <c r="L134" s="23"/>
      <c r="M134" s="32"/>
    </row>
    <row r="135" spans="1:13" s="1" customFormat="1" x14ac:dyDescent="0.25">
      <c r="A135" s="1" t="str">
        <f t="shared" si="9"/>
        <v>-</v>
      </c>
      <c r="B135" s="77" t="str">
        <f t="shared" si="10"/>
        <v>-</v>
      </c>
      <c r="C135" s="17" t="str">
        <f t="shared" si="8"/>
        <v>-</v>
      </c>
      <c r="D135" s="1" t="str">
        <f t="shared" si="7"/>
        <v/>
      </c>
      <c r="E135" s="20"/>
      <c r="K135" s="25"/>
      <c r="L135" s="23"/>
      <c r="M135" s="32"/>
    </row>
    <row r="136" spans="1:13" s="1" customFormat="1" x14ac:dyDescent="0.25">
      <c r="A136" s="1" t="str">
        <f t="shared" si="9"/>
        <v>-</v>
      </c>
      <c r="B136" s="77" t="str">
        <f t="shared" si="10"/>
        <v>-</v>
      </c>
      <c r="C136" s="17" t="str">
        <f t="shared" si="8"/>
        <v>-</v>
      </c>
      <c r="D136" s="1" t="str">
        <f t="shared" ref="D136:D199" si="11">IF(F136&lt;&gt;"",RIGHT(F136, LEN(F136) - FIND(" - ", F136) - 2),"")</f>
        <v/>
      </c>
      <c r="E136" s="20"/>
      <c r="K136" s="25"/>
      <c r="L136" s="23"/>
      <c r="M136" s="32"/>
    </row>
    <row r="137" spans="1:13" s="1" customFormat="1" x14ac:dyDescent="0.25">
      <c r="A137" s="1" t="str">
        <f t="shared" si="9"/>
        <v>-</v>
      </c>
      <c r="B137" s="77" t="str">
        <f t="shared" si="10"/>
        <v>-</v>
      </c>
      <c r="C137" s="17" t="str">
        <f t="shared" si="8"/>
        <v>-</v>
      </c>
      <c r="D137" s="1" t="str">
        <f t="shared" si="11"/>
        <v/>
      </c>
      <c r="E137" s="20"/>
      <c r="K137" s="25"/>
      <c r="L137" s="23"/>
      <c r="M137" s="32"/>
    </row>
    <row r="138" spans="1:13" s="1" customFormat="1" x14ac:dyDescent="0.25">
      <c r="A138" s="1" t="str">
        <f t="shared" si="9"/>
        <v>-</v>
      </c>
      <c r="B138" s="77" t="str">
        <f t="shared" si="10"/>
        <v>-</v>
      </c>
      <c r="C138" s="17" t="str">
        <f t="shared" si="8"/>
        <v>-</v>
      </c>
      <c r="D138" s="1" t="str">
        <f t="shared" si="11"/>
        <v/>
      </c>
      <c r="E138" s="20"/>
      <c r="K138" s="25"/>
      <c r="L138" s="23"/>
      <c r="M138" s="32"/>
    </row>
    <row r="139" spans="1:13" s="1" customFormat="1" x14ac:dyDescent="0.25">
      <c r="A139" s="1" t="str">
        <f t="shared" si="9"/>
        <v>-</v>
      </c>
      <c r="B139" s="77" t="str">
        <f t="shared" si="10"/>
        <v>-</v>
      </c>
      <c r="C139" s="17" t="str">
        <f t="shared" si="8"/>
        <v>-</v>
      </c>
      <c r="D139" s="1" t="str">
        <f t="shared" si="11"/>
        <v/>
      </c>
      <c r="E139" s="20"/>
      <c r="K139" s="25"/>
      <c r="L139" s="23"/>
      <c r="M139" s="32"/>
    </row>
    <row r="140" spans="1:13" s="1" customFormat="1" x14ac:dyDescent="0.25">
      <c r="A140" s="1" t="str">
        <f t="shared" si="9"/>
        <v>-</v>
      </c>
      <c r="B140" s="77" t="str">
        <f t="shared" si="10"/>
        <v>-</v>
      </c>
      <c r="C140" s="17" t="str">
        <f t="shared" si="8"/>
        <v>-</v>
      </c>
      <c r="D140" s="1" t="str">
        <f t="shared" si="11"/>
        <v/>
      </c>
      <c r="E140" s="20"/>
      <c r="K140" s="25"/>
      <c r="L140" s="23"/>
      <c r="M140" s="32"/>
    </row>
    <row r="141" spans="1:13" s="1" customFormat="1" x14ac:dyDescent="0.25">
      <c r="A141" s="1" t="str">
        <f t="shared" si="9"/>
        <v>-</v>
      </c>
      <c r="B141" s="77" t="str">
        <f t="shared" si="10"/>
        <v>-</v>
      </c>
      <c r="C141" s="17" t="str">
        <f t="shared" si="8"/>
        <v>-</v>
      </c>
      <c r="D141" s="1" t="str">
        <f t="shared" si="11"/>
        <v/>
      </c>
      <c r="E141" s="20"/>
      <c r="K141" s="25"/>
      <c r="L141" s="23"/>
      <c r="M141" s="32"/>
    </row>
    <row r="142" spans="1:13" s="1" customFormat="1" x14ac:dyDescent="0.25">
      <c r="A142" s="1" t="str">
        <f t="shared" si="9"/>
        <v>-</v>
      </c>
      <c r="B142" s="77" t="str">
        <f t="shared" si="10"/>
        <v>-</v>
      </c>
      <c r="C142" s="17" t="str">
        <f t="shared" si="8"/>
        <v>-</v>
      </c>
      <c r="D142" s="1" t="str">
        <f t="shared" si="11"/>
        <v/>
      </c>
      <c r="E142" s="20"/>
      <c r="K142" s="25"/>
      <c r="L142" s="23"/>
      <c r="M142" s="32"/>
    </row>
    <row r="143" spans="1:13" s="1" customFormat="1" x14ac:dyDescent="0.25">
      <c r="A143" s="1" t="str">
        <f t="shared" si="9"/>
        <v>-</v>
      </c>
      <c r="B143" s="77" t="str">
        <f t="shared" si="10"/>
        <v>-</v>
      </c>
      <c r="C143" s="17" t="str">
        <f t="shared" si="8"/>
        <v>-</v>
      </c>
      <c r="D143" s="1" t="str">
        <f t="shared" si="11"/>
        <v/>
      </c>
      <c r="E143" s="20"/>
      <c r="K143" s="25"/>
      <c r="L143" s="23"/>
      <c r="M143" s="32"/>
    </row>
    <row r="144" spans="1:13" s="1" customFormat="1" x14ac:dyDescent="0.25">
      <c r="A144" s="1" t="str">
        <f t="shared" si="9"/>
        <v>-</v>
      </c>
      <c r="B144" s="77" t="str">
        <f t="shared" si="10"/>
        <v>-</v>
      </c>
      <c r="C144" s="17" t="str">
        <f t="shared" si="8"/>
        <v>-</v>
      </c>
      <c r="D144" s="1" t="str">
        <f t="shared" si="11"/>
        <v/>
      </c>
      <c r="E144" s="20"/>
      <c r="K144" s="25"/>
      <c r="L144" s="23"/>
      <c r="M144" s="32"/>
    </row>
    <row r="145" spans="1:13" s="1" customFormat="1" x14ac:dyDescent="0.25">
      <c r="A145" s="1" t="str">
        <f t="shared" si="9"/>
        <v>-</v>
      </c>
      <c r="B145" s="77" t="str">
        <f t="shared" si="10"/>
        <v>-</v>
      </c>
      <c r="C145" s="17" t="str">
        <f t="shared" ref="C145:C208" si="12">IF(F145&lt;&gt;"", LEFT(RIGHT(F145, LEN(F145) - FIND("N°", F145) - 1), FIND(" ", RIGHT(F145, LEN(F145) - FIND("N°", F145) - 1) &amp; " ") - 1), "-")</f>
        <v>-</v>
      </c>
      <c r="D145" s="1" t="str">
        <f t="shared" si="11"/>
        <v/>
      </c>
      <c r="E145" s="20"/>
      <c r="K145" s="25"/>
      <c r="L145" s="23"/>
      <c r="M145" s="32"/>
    </row>
    <row r="146" spans="1:13" s="1" customFormat="1" x14ac:dyDescent="0.25">
      <c r="A146" s="1" t="str">
        <f t="shared" si="9"/>
        <v>-</v>
      </c>
      <c r="B146" s="77" t="str">
        <f t="shared" si="10"/>
        <v>-</v>
      </c>
      <c r="C146" s="17" t="str">
        <f t="shared" si="12"/>
        <v>-</v>
      </c>
      <c r="D146" s="1" t="str">
        <f t="shared" si="11"/>
        <v/>
      </c>
      <c r="E146" s="20"/>
      <c r="K146" s="25"/>
      <c r="L146" s="23"/>
      <c r="M146" s="32"/>
    </row>
    <row r="147" spans="1:13" s="1" customFormat="1" x14ac:dyDescent="0.25">
      <c r="A147" s="1" t="str">
        <f t="shared" si="9"/>
        <v>-</v>
      </c>
      <c r="B147" s="77" t="str">
        <f t="shared" si="10"/>
        <v>-</v>
      </c>
      <c r="C147" s="17" t="str">
        <f t="shared" si="12"/>
        <v>-</v>
      </c>
      <c r="D147" s="1" t="str">
        <f t="shared" si="11"/>
        <v/>
      </c>
      <c r="E147" s="20"/>
      <c r="K147" s="25"/>
      <c r="L147" s="23"/>
      <c r="M147" s="32"/>
    </row>
    <row r="148" spans="1:13" s="1" customFormat="1" x14ac:dyDescent="0.25">
      <c r="A148" s="1" t="str">
        <f t="shared" si="9"/>
        <v>-</v>
      </c>
      <c r="B148" s="77" t="str">
        <f t="shared" si="10"/>
        <v>-</v>
      </c>
      <c r="C148" s="17" t="str">
        <f t="shared" si="12"/>
        <v>-</v>
      </c>
      <c r="D148" s="1" t="str">
        <f t="shared" si="11"/>
        <v/>
      </c>
      <c r="E148" s="20"/>
      <c r="K148" s="25"/>
      <c r="L148" s="23"/>
      <c r="M148" s="32"/>
    </row>
    <row r="149" spans="1:13" s="1" customFormat="1" x14ac:dyDescent="0.25">
      <c r="A149" s="1" t="str">
        <f t="shared" ref="A149:A212" si="13">IF(E149&lt;&gt;"",TEXT(E149, "hh:mm"),"-")</f>
        <v>-</v>
      </c>
      <c r="B149" s="77" t="str">
        <f t="shared" ref="B149:B212" si="14">IF(E149&lt;&gt;"",DATE(YEAR(E149),MONTH(E149), DAY(E149)),"-")</f>
        <v>-</v>
      </c>
      <c r="C149" s="17" t="str">
        <f t="shared" si="12"/>
        <v>-</v>
      </c>
      <c r="D149" s="1" t="str">
        <f t="shared" si="11"/>
        <v/>
      </c>
      <c r="E149" s="20"/>
      <c r="K149" s="25"/>
      <c r="L149" s="23"/>
      <c r="M149" s="32"/>
    </row>
    <row r="150" spans="1:13" s="1" customFormat="1" x14ac:dyDescent="0.25">
      <c r="A150" s="1" t="str">
        <f t="shared" si="13"/>
        <v>-</v>
      </c>
      <c r="B150" s="77" t="str">
        <f t="shared" si="14"/>
        <v>-</v>
      </c>
      <c r="C150" s="17" t="str">
        <f t="shared" si="12"/>
        <v>-</v>
      </c>
      <c r="D150" s="1" t="str">
        <f t="shared" si="11"/>
        <v/>
      </c>
      <c r="E150" s="20"/>
      <c r="K150" s="25"/>
      <c r="L150" s="23"/>
      <c r="M150" s="32"/>
    </row>
    <row r="151" spans="1:13" s="1" customFormat="1" x14ac:dyDescent="0.25">
      <c r="A151" s="1" t="str">
        <f t="shared" si="13"/>
        <v>-</v>
      </c>
      <c r="B151" s="77" t="str">
        <f t="shared" si="14"/>
        <v>-</v>
      </c>
      <c r="C151" s="17" t="str">
        <f t="shared" si="12"/>
        <v>-</v>
      </c>
      <c r="D151" s="1" t="str">
        <f t="shared" si="11"/>
        <v/>
      </c>
      <c r="E151" s="20"/>
      <c r="K151" s="25"/>
      <c r="L151" s="23"/>
      <c r="M151" s="32"/>
    </row>
    <row r="152" spans="1:13" s="1" customFormat="1" x14ac:dyDescent="0.25">
      <c r="A152" s="1" t="str">
        <f t="shared" si="13"/>
        <v>-</v>
      </c>
      <c r="B152" s="77" t="str">
        <f t="shared" si="14"/>
        <v>-</v>
      </c>
      <c r="C152" s="17" t="str">
        <f t="shared" si="12"/>
        <v>-</v>
      </c>
      <c r="D152" s="1" t="str">
        <f t="shared" si="11"/>
        <v/>
      </c>
      <c r="E152" s="20"/>
      <c r="K152" s="25"/>
      <c r="L152" s="23"/>
      <c r="M152" s="32"/>
    </row>
    <row r="153" spans="1:13" s="1" customFormat="1" x14ac:dyDescent="0.25">
      <c r="A153" s="1" t="str">
        <f t="shared" si="13"/>
        <v>-</v>
      </c>
      <c r="B153" s="77" t="str">
        <f t="shared" si="14"/>
        <v>-</v>
      </c>
      <c r="C153" s="17" t="str">
        <f t="shared" si="12"/>
        <v>-</v>
      </c>
      <c r="D153" s="1" t="str">
        <f t="shared" si="11"/>
        <v/>
      </c>
      <c r="E153" s="20"/>
      <c r="K153" s="25"/>
      <c r="L153" s="23"/>
      <c r="M153" s="32"/>
    </row>
    <row r="154" spans="1:13" s="1" customFormat="1" x14ac:dyDescent="0.25">
      <c r="A154" s="1" t="str">
        <f t="shared" si="13"/>
        <v>-</v>
      </c>
      <c r="B154" s="77" t="str">
        <f t="shared" si="14"/>
        <v>-</v>
      </c>
      <c r="C154" s="17" t="str">
        <f t="shared" si="12"/>
        <v>-</v>
      </c>
      <c r="D154" s="1" t="str">
        <f t="shared" si="11"/>
        <v/>
      </c>
      <c r="E154" s="20"/>
      <c r="K154" s="25"/>
      <c r="L154" s="23"/>
      <c r="M154" s="32"/>
    </row>
    <row r="155" spans="1:13" s="1" customFormat="1" x14ac:dyDescent="0.25">
      <c r="A155" s="1" t="str">
        <f t="shared" si="13"/>
        <v>-</v>
      </c>
      <c r="B155" s="77" t="str">
        <f t="shared" si="14"/>
        <v>-</v>
      </c>
      <c r="C155" s="17" t="str">
        <f t="shared" si="12"/>
        <v>-</v>
      </c>
      <c r="D155" s="1" t="str">
        <f t="shared" si="11"/>
        <v/>
      </c>
      <c r="E155" s="20"/>
      <c r="K155" s="25"/>
      <c r="L155" s="23"/>
      <c r="M155" s="32"/>
    </row>
    <row r="156" spans="1:13" s="1" customFormat="1" x14ac:dyDescent="0.25">
      <c r="A156" s="1" t="str">
        <f t="shared" si="13"/>
        <v>-</v>
      </c>
      <c r="B156" s="77" t="str">
        <f t="shared" si="14"/>
        <v>-</v>
      </c>
      <c r="C156" s="17" t="str">
        <f t="shared" si="12"/>
        <v>-</v>
      </c>
      <c r="D156" s="1" t="str">
        <f t="shared" si="11"/>
        <v/>
      </c>
      <c r="E156" s="20"/>
      <c r="K156" s="25"/>
      <c r="L156" s="23"/>
      <c r="M156" s="32"/>
    </row>
    <row r="157" spans="1:13" s="1" customFormat="1" x14ac:dyDescent="0.25">
      <c r="A157" s="1" t="str">
        <f t="shared" si="13"/>
        <v>-</v>
      </c>
      <c r="B157" s="77" t="str">
        <f t="shared" si="14"/>
        <v>-</v>
      </c>
      <c r="C157" s="17" t="str">
        <f t="shared" si="12"/>
        <v>-</v>
      </c>
      <c r="D157" s="1" t="str">
        <f t="shared" si="11"/>
        <v/>
      </c>
      <c r="E157" s="20"/>
      <c r="K157" s="25"/>
      <c r="L157" s="23"/>
      <c r="M157" s="32"/>
    </row>
    <row r="158" spans="1:13" s="1" customFormat="1" x14ac:dyDescent="0.25">
      <c r="A158" s="1" t="str">
        <f t="shared" si="13"/>
        <v>-</v>
      </c>
      <c r="B158" s="77" t="str">
        <f t="shared" si="14"/>
        <v>-</v>
      </c>
      <c r="C158" s="17" t="str">
        <f t="shared" si="12"/>
        <v>-</v>
      </c>
      <c r="D158" s="1" t="str">
        <f t="shared" si="11"/>
        <v/>
      </c>
      <c r="E158" s="20"/>
      <c r="K158" s="25"/>
      <c r="L158" s="23"/>
      <c r="M158" s="32"/>
    </row>
    <row r="159" spans="1:13" s="1" customFormat="1" x14ac:dyDescent="0.25">
      <c r="A159" s="1" t="str">
        <f t="shared" si="13"/>
        <v>-</v>
      </c>
      <c r="B159" s="77" t="str">
        <f t="shared" si="14"/>
        <v>-</v>
      </c>
      <c r="C159" s="17" t="str">
        <f t="shared" si="12"/>
        <v>-</v>
      </c>
      <c r="D159" s="1" t="str">
        <f t="shared" si="11"/>
        <v/>
      </c>
      <c r="E159" s="20"/>
      <c r="K159" s="25"/>
      <c r="L159" s="23"/>
      <c r="M159" s="32"/>
    </row>
    <row r="160" spans="1:13" s="1" customFormat="1" x14ac:dyDescent="0.25">
      <c r="A160" s="1" t="str">
        <f t="shared" si="13"/>
        <v>-</v>
      </c>
      <c r="B160" s="77" t="str">
        <f t="shared" si="14"/>
        <v>-</v>
      </c>
      <c r="C160" s="17" t="str">
        <f t="shared" si="12"/>
        <v>-</v>
      </c>
      <c r="D160" s="1" t="str">
        <f t="shared" si="11"/>
        <v/>
      </c>
      <c r="E160" s="20"/>
      <c r="K160" s="25"/>
      <c r="L160" s="23"/>
      <c r="M160" s="32"/>
    </row>
    <row r="161" spans="1:13" s="1" customFormat="1" x14ac:dyDescent="0.25">
      <c r="A161" s="1" t="str">
        <f t="shared" si="13"/>
        <v>-</v>
      </c>
      <c r="B161" s="77" t="str">
        <f t="shared" si="14"/>
        <v>-</v>
      </c>
      <c r="C161" s="17" t="str">
        <f t="shared" si="12"/>
        <v>-</v>
      </c>
      <c r="D161" s="1" t="str">
        <f t="shared" si="11"/>
        <v/>
      </c>
      <c r="E161" s="20"/>
      <c r="K161" s="25"/>
      <c r="L161" s="23"/>
      <c r="M161" s="32"/>
    </row>
    <row r="162" spans="1:13" s="1" customFormat="1" x14ac:dyDescent="0.25">
      <c r="A162" s="1" t="str">
        <f t="shared" si="13"/>
        <v>-</v>
      </c>
      <c r="B162" s="77" t="str">
        <f t="shared" si="14"/>
        <v>-</v>
      </c>
      <c r="C162" s="17" t="str">
        <f t="shared" si="12"/>
        <v>-</v>
      </c>
      <c r="D162" s="1" t="str">
        <f t="shared" si="11"/>
        <v/>
      </c>
      <c r="E162" s="20"/>
      <c r="K162" s="25"/>
      <c r="L162" s="23"/>
      <c r="M162" s="32"/>
    </row>
    <row r="163" spans="1:13" s="1" customFormat="1" x14ac:dyDescent="0.25">
      <c r="A163" s="1" t="str">
        <f t="shared" si="13"/>
        <v>-</v>
      </c>
      <c r="B163" s="77" t="str">
        <f t="shared" si="14"/>
        <v>-</v>
      </c>
      <c r="C163" s="17" t="str">
        <f t="shared" si="12"/>
        <v>-</v>
      </c>
      <c r="D163" s="1" t="str">
        <f t="shared" si="11"/>
        <v/>
      </c>
      <c r="E163" s="20"/>
      <c r="K163" s="25"/>
      <c r="L163" s="23"/>
      <c r="M163" s="32"/>
    </row>
    <row r="164" spans="1:13" s="1" customFormat="1" x14ac:dyDescent="0.25">
      <c r="A164" s="1" t="str">
        <f t="shared" si="13"/>
        <v>-</v>
      </c>
      <c r="B164" s="77" t="str">
        <f t="shared" si="14"/>
        <v>-</v>
      </c>
      <c r="C164" s="17" t="str">
        <f t="shared" si="12"/>
        <v>-</v>
      </c>
      <c r="D164" s="1" t="str">
        <f t="shared" si="11"/>
        <v/>
      </c>
      <c r="E164" s="20"/>
      <c r="K164" s="25"/>
      <c r="L164" s="23"/>
      <c r="M164" s="32"/>
    </row>
    <row r="165" spans="1:13" s="1" customFormat="1" x14ac:dyDescent="0.25">
      <c r="A165" s="1" t="str">
        <f t="shared" si="13"/>
        <v>-</v>
      </c>
      <c r="B165" s="77" t="str">
        <f t="shared" si="14"/>
        <v>-</v>
      </c>
      <c r="C165" s="17" t="str">
        <f t="shared" si="12"/>
        <v>-</v>
      </c>
      <c r="D165" s="1" t="str">
        <f t="shared" si="11"/>
        <v/>
      </c>
      <c r="E165" s="20"/>
      <c r="K165" s="25"/>
      <c r="L165" s="23"/>
      <c r="M165" s="32"/>
    </row>
    <row r="166" spans="1:13" s="1" customFormat="1" x14ac:dyDescent="0.25">
      <c r="A166" s="1" t="str">
        <f t="shared" si="13"/>
        <v>-</v>
      </c>
      <c r="B166" s="77" t="str">
        <f t="shared" si="14"/>
        <v>-</v>
      </c>
      <c r="C166" s="17" t="str">
        <f t="shared" si="12"/>
        <v>-</v>
      </c>
      <c r="D166" s="1" t="str">
        <f t="shared" si="11"/>
        <v/>
      </c>
      <c r="E166" s="20"/>
      <c r="K166" s="25"/>
      <c r="L166" s="23"/>
      <c r="M166" s="32"/>
    </row>
    <row r="167" spans="1:13" s="1" customFormat="1" x14ac:dyDescent="0.25">
      <c r="A167" s="1" t="str">
        <f t="shared" si="13"/>
        <v>-</v>
      </c>
      <c r="B167" s="77" t="str">
        <f t="shared" si="14"/>
        <v>-</v>
      </c>
      <c r="C167" s="17" t="str">
        <f t="shared" si="12"/>
        <v>-</v>
      </c>
      <c r="D167" s="1" t="str">
        <f t="shared" si="11"/>
        <v/>
      </c>
      <c r="E167" s="20"/>
      <c r="K167" s="25"/>
      <c r="L167" s="23"/>
      <c r="M167" s="32"/>
    </row>
    <row r="168" spans="1:13" s="1" customFormat="1" x14ac:dyDescent="0.25">
      <c r="A168" s="1" t="str">
        <f t="shared" si="13"/>
        <v>-</v>
      </c>
      <c r="B168" s="77" t="str">
        <f t="shared" si="14"/>
        <v>-</v>
      </c>
      <c r="C168" s="17" t="str">
        <f t="shared" si="12"/>
        <v>-</v>
      </c>
      <c r="D168" s="1" t="str">
        <f t="shared" si="11"/>
        <v/>
      </c>
      <c r="E168" s="20"/>
      <c r="K168" s="25"/>
      <c r="L168" s="23"/>
      <c r="M168" s="32"/>
    </row>
    <row r="169" spans="1:13" s="1" customFormat="1" x14ac:dyDescent="0.25">
      <c r="A169" s="1" t="str">
        <f t="shared" si="13"/>
        <v>-</v>
      </c>
      <c r="B169" s="77" t="str">
        <f t="shared" si="14"/>
        <v>-</v>
      </c>
      <c r="C169" s="17" t="str">
        <f t="shared" si="12"/>
        <v>-</v>
      </c>
      <c r="D169" s="1" t="str">
        <f t="shared" si="11"/>
        <v/>
      </c>
      <c r="E169" s="20"/>
      <c r="K169" s="25"/>
      <c r="L169" s="23"/>
      <c r="M169" s="32"/>
    </row>
    <row r="170" spans="1:13" s="1" customFormat="1" x14ac:dyDescent="0.25">
      <c r="A170" s="1" t="str">
        <f t="shared" si="13"/>
        <v>-</v>
      </c>
      <c r="B170" s="77" t="str">
        <f t="shared" si="14"/>
        <v>-</v>
      </c>
      <c r="C170" s="17" t="str">
        <f t="shared" si="12"/>
        <v>-</v>
      </c>
      <c r="D170" s="1" t="str">
        <f t="shared" si="11"/>
        <v/>
      </c>
      <c r="E170" s="20"/>
      <c r="K170" s="25"/>
      <c r="L170" s="23"/>
      <c r="M170" s="32"/>
    </row>
    <row r="171" spans="1:13" s="1" customFormat="1" x14ac:dyDescent="0.25">
      <c r="A171" s="1" t="str">
        <f t="shared" si="13"/>
        <v>-</v>
      </c>
      <c r="B171" s="77" t="str">
        <f t="shared" si="14"/>
        <v>-</v>
      </c>
      <c r="C171" s="17" t="str">
        <f t="shared" si="12"/>
        <v>-</v>
      </c>
      <c r="D171" s="1" t="str">
        <f t="shared" si="11"/>
        <v/>
      </c>
      <c r="E171" s="20"/>
      <c r="K171" s="25"/>
      <c r="L171" s="23"/>
      <c r="M171" s="32"/>
    </row>
    <row r="172" spans="1:13" s="1" customFormat="1" x14ac:dyDescent="0.25">
      <c r="A172" s="1" t="str">
        <f t="shared" si="13"/>
        <v>-</v>
      </c>
      <c r="B172" s="77" t="str">
        <f t="shared" si="14"/>
        <v>-</v>
      </c>
      <c r="C172" s="17" t="str">
        <f t="shared" si="12"/>
        <v>-</v>
      </c>
      <c r="D172" s="1" t="str">
        <f t="shared" si="11"/>
        <v/>
      </c>
      <c r="E172" s="20"/>
      <c r="K172" s="25"/>
      <c r="L172" s="23"/>
      <c r="M172" s="32"/>
    </row>
    <row r="173" spans="1:13" s="1" customFormat="1" x14ac:dyDescent="0.25">
      <c r="A173" s="1" t="str">
        <f t="shared" si="13"/>
        <v>-</v>
      </c>
      <c r="B173" s="77" t="str">
        <f t="shared" si="14"/>
        <v>-</v>
      </c>
      <c r="C173" s="17" t="str">
        <f t="shared" si="12"/>
        <v>-</v>
      </c>
      <c r="D173" s="1" t="str">
        <f t="shared" si="11"/>
        <v/>
      </c>
      <c r="E173" s="20"/>
      <c r="K173" s="25"/>
      <c r="L173" s="23"/>
      <c r="M173" s="32"/>
    </row>
    <row r="174" spans="1:13" s="1" customFormat="1" x14ac:dyDescent="0.25">
      <c r="A174" s="1" t="str">
        <f t="shared" si="13"/>
        <v>-</v>
      </c>
      <c r="B174" s="77" t="str">
        <f t="shared" si="14"/>
        <v>-</v>
      </c>
      <c r="C174" s="17" t="str">
        <f t="shared" si="12"/>
        <v>-</v>
      </c>
      <c r="D174" s="1" t="str">
        <f t="shared" si="11"/>
        <v/>
      </c>
      <c r="E174" s="20"/>
      <c r="K174" s="25"/>
      <c r="L174" s="23"/>
      <c r="M174" s="32"/>
    </row>
    <row r="175" spans="1:13" s="1" customFormat="1" x14ac:dyDescent="0.25">
      <c r="A175" s="1" t="str">
        <f t="shared" si="13"/>
        <v>-</v>
      </c>
      <c r="B175" s="77" t="str">
        <f t="shared" si="14"/>
        <v>-</v>
      </c>
      <c r="C175" s="17" t="str">
        <f t="shared" si="12"/>
        <v>-</v>
      </c>
      <c r="D175" s="1" t="str">
        <f t="shared" si="11"/>
        <v/>
      </c>
      <c r="E175" s="20"/>
      <c r="K175" s="25"/>
      <c r="L175" s="23"/>
      <c r="M175" s="32"/>
    </row>
    <row r="176" spans="1:13" s="1" customFormat="1" x14ac:dyDescent="0.25">
      <c r="A176" s="1" t="str">
        <f t="shared" si="13"/>
        <v>-</v>
      </c>
      <c r="B176" s="77" t="str">
        <f t="shared" si="14"/>
        <v>-</v>
      </c>
      <c r="C176" s="17" t="str">
        <f t="shared" si="12"/>
        <v>-</v>
      </c>
      <c r="D176" s="1" t="str">
        <f t="shared" si="11"/>
        <v/>
      </c>
      <c r="E176" s="20"/>
      <c r="K176" s="25"/>
      <c r="L176" s="23"/>
      <c r="M176" s="32"/>
    </row>
    <row r="177" spans="1:13" s="1" customFormat="1" x14ac:dyDescent="0.25">
      <c r="A177" s="1" t="str">
        <f t="shared" si="13"/>
        <v>-</v>
      </c>
      <c r="B177" s="77" t="str">
        <f t="shared" si="14"/>
        <v>-</v>
      </c>
      <c r="C177" s="17" t="str">
        <f t="shared" si="12"/>
        <v>-</v>
      </c>
      <c r="D177" s="1" t="str">
        <f t="shared" si="11"/>
        <v/>
      </c>
      <c r="E177" s="20"/>
      <c r="K177" s="25"/>
      <c r="L177" s="23"/>
      <c r="M177" s="32"/>
    </row>
    <row r="178" spans="1:13" s="1" customFormat="1" x14ac:dyDescent="0.25">
      <c r="A178" s="1" t="str">
        <f t="shared" si="13"/>
        <v>-</v>
      </c>
      <c r="B178" s="77" t="str">
        <f t="shared" si="14"/>
        <v>-</v>
      </c>
      <c r="C178" s="17" t="str">
        <f t="shared" si="12"/>
        <v>-</v>
      </c>
      <c r="D178" s="1" t="str">
        <f t="shared" si="11"/>
        <v/>
      </c>
      <c r="E178" s="20"/>
      <c r="K178" s="25"/>
      <c r="L178" s="23"/>
      <c r="M178" s="32"/>
    </row>
    <row r="179" spans="1:13" s="1" customFormat="1" x14ac:dyDescent="0.25">
      <c r="A179" s="1" t="str">
        <f t="shared" si="13"/>
        <v>-</v>
      </c>
      <c r="B179" s="77" t="str">
        <f t="shared" si="14"/>
        <v>-</v>
      </c>
      <c r="C179" s="17" t="str">
        <f t="shared" si="12"/>
        <v>-</v>
      </c>
      <c r="D179" s="1" t="str">
        <f t="shared" si="11"/>
        <v/>
      </c>
      <c r="E179" s="20"/>
      <c r="K179" s="25"/>
      <c r="L179" s="23"/>
      <c r="M179" s="32"/>
    </row>
    <row r="180" spans="1:13" s="1" customFormat="1" x14ac:dyDescent="0.25">
      <c r="A180" s="1" t="str">
        <f t="shared" si="13"/>
        <v>-</v>
      </c>
      <c r="B180" s="77" t="str">
        <f t="shared" si="14"/>
        <v>-</v>
      </c>
      <c r="C180" s="17" t="str">
        <f t="shared" si="12"/>
        <v>-</v>
      </c>
      <c r="D180" s="1" t="str">
        <f t="shared" si="11"/>
        <v/>
      </c>
      <c r="E180" s="20"/>
      <c r="K180" s="25"/>
      <c r="L180" s="23"/>
      <c r="M180" s="32"/>
    </row>
    <row r="181" spans="1:13" s="1" customFormat="1" x14ac:dyDescent="0.25">
      <c r="A181" s="1" t="str">
        <f t="shared" si="13"/>
        <v>-</v>
      </c>
      <c r="B181" s="77" t="str">
        <f t="shared" si="14"/>
        <v>-</v>
      </c>
      <c r="C181" s="17" t="str">
        <f t="shared" si="12"/>
        <v>-</v>
      </c>
      <c r="D181" s="1" t="str">
        <f t="shared" si="11"/>
        <v/>
      </c>
      <c r="E181" s="20"/>
      <c r="K181" s="25"/>
      <c r="L181" s="23"/>
      <c r="M181" s="32"/>
    </row>
    <row r="182" spans="1:13" s="1" customFormat="1" x14ac:dyDescent="0.25">
      <c r="A182" s="1" t="str">
        <f t="shared" si="13"/>
        <v>-</v>
      </c>
      <c r="B182" s="77" t="str">
        <f t="shared" si="14"/>
        <v>-</v>
      </c>
      <c r="C182" s="17" t="str">
        <f t="shared" si="12"/>
        <v>-</v>
      </c>
      <c r="D182" s="1" t="str">
        <f t="shared" si="11"/>
        <v/>
      </c>
      <c r="E182" s="20"/>
      <c r="K182" s="25"/>
      <c r="L182" s="23"/>
      <c r="M182" s="32"/>
    </row>
    <row r="183" spans="1:13" s="1" customFormat="1" x14ac:dyDescent="0.25">
      <c r="A183" s="1" t="str">
        <f t="shared" si="13"/>
        <v>-</v>
      </c>
      <c r="B183" s="77" t="str">
        <f t="shared" si="14"/>
        <v>-</v>
      </c>
      <c r="C183" s="17" t="str">
        <f t="shared" si="12"/>
        <v>-</v>
      </c>
      <c r="D183" s="1" t="str">
        <f t="shared" si="11"/>
        <v/>
      </c>
      <c r="E183" s="20"/>
      <c r="K183" s="25"/>
      <c r="L183" s="23"/>
      <c r="M183" s="32"/>
    </row>
    <row r="184" spans="1:13" s="1" customFormat="1" x14ac:dyDescent="0.25">
      <c r="A184" s="1" t="str">
        <f t="shared" si="13"/>
        <v>-</v>
      </c>
      <c r="B184" s="77" t="str">
        <f t="shared" si="14"/>
        <v>-</v>
      </c>
      <c r="C184" s="17" t="str">
        <f t="shared" si="12"/>
        <v>-</v>
      </c>
      <c r="D184" s="1" t="str">
        <f t="shared" si="11"/>
        <v/>
      </c>
      <c r="E184" s="20"/>
      <c r="K184" s="25"/>
      <c r="L184" s="23"/>
      <c r="M184" s="32"/>
    </row>
    <row r="185" spans="1:13" s="1" customFormat="1" x14ac:dyDescent="0.25">
      <c r="A185" s="1" t="str">
        <f t="shared" si="13"/>
        <v>-</v>
      </c>
      <c r="B185" s="77" t="str">
        <f t="shared" si="14"/>
        <v>-</v>
      </c>
      <c r="C185" s="17" t="str">
        <f t="shared" si="12"/>
        <v>-</v>
      </c>
      <c r="D185" s="1" t="str">
        <f t="shared" si="11"/>
        <v/>
      </c>
      <c r="E185" s="20"/>
      <c r="K185" s="25"/>
      <c r="L185" s="23"/>
      <c r="M185" s="32"/>
    </row>
    <row r="186" spans="1:13" s="1" customFormat="1" x14ac:dyDescent="0.25">
      <c r="A186" s="1" t="str">
        <f t="shared" si="13"/>
        <v>-</v>
      </c>
      <c r="B186" s="77" t="str">
        <f t="shared" si="14"/>
        <v>-</v>
      </c>
      <c r="C186" s="17" t="str">
        <f t="shared" si="12"/>
        <v>-</v>
      </c>
      <c r="D186" s="1" t="str">
        <f t="shared" si="11"/>
        <v/>
      </c>
      <c r="E186" s="20"/>
      <c r="K186" s="25"/>
      <c r="L186" s="23"/>
      <c r="M186" s="32"/>
    </row>
    <row r="187" spans="1:13" s="1" customFormat="1" x14ac:dyDescent="0.25">
      <c r="A187" s="1" t="str">
        <f t="shared" si="13"/>
        <v>-</v>
      </c>
      <c r="B187" s="77" t="str">
        <f t="shared" si="14"/>
        <v>-</v>
      </c>
      <c r="C187" s="17" t="str">
        <f t="shared" si="12"/>
        <v>-</v>
      </c>
      <c r="D187" s="1" t="str">
        <f t="shared" si="11"/>
        <v/>
      </c>
      <c r="E187" s="20"/>
      <c r="K187" s="25"/>
      <c r="L187" s="23"/>
      <c r="M187" s="32"/>
    </row>
    <row r="188" spans="1:13" s="1" customFormat="1" x14ac:dyDescent="0.25">
      <c r="A188" s="1" t="str">
        <f t="shared" si="13"/>
        <v>-</v>
      </c>
      <c r="B188" s="77" t="str">
        <f t="shared" si="14"/>
        <v>-</v>
      </c>
      <c r="C188" s="17" t="str">
        <f t="shared" si="12"/>
        <v>-</v>
      </c>
      <c r="D188" s="1" t="str">
        <f t="shared" si="11"/>
        <v/>
      </c>
      <c r="E188" s="20"/>
      <c r="K188" s="25"/>
      <c r="L188" s="23"/>
      <c r="M188" s="32"/>
    </row>
    <row r="189" spans="1:13" s="1" customFormat="1" x14ac:dyDescent="0.25">
      <c r="A189" s="1" t="str">
        <f t="shared" si="13"/>
        <v>-</v>
      </c>
      <c r="B189" s="77" t="str">
        <f t="shared" si="14"/>
        <v>-</v>
      </c>
      <c r="C189" s="17" t="str">
        <f t="shared" si="12"/>
        <v>-</v>
      </c>
      <c r="D189" s="1" t="str">
        <f t="shared" si="11"/>
        <v/>
      </c>
      <c r="E189" s="20"/>
      <c r="K189" s="25"/>
      <c r="L189" s="23"/>
      <c r="M189" s="32"/>
    </row>
    <row r="190" spans="1:13" s="1" customFormat="1" x14ac:dyDescent="0.25">
      <c r="A190" s="1" t="str">
        <f t="shared" si="13"/>
        <v>-</v>
      </c>
      <c r="B190" s="77" t="str">
        <f t="shared" si="14"/>
        <v>-</v>
      </c>
      <c r="C190" s="17" t="str">
        <f t="shared" si="12"/>
        <v>-</v>
      </c>
      <c r="D190" s="1" t="str">
        <f t="shared" si="11"/>
        <v/>
      </c>
      <c r="E190" s="20"/>
      <c r="K190" s="25"/>
      <c r="L190" s="23"/>
      <c r="M190" s="32"/>
    </row>
    <row r="191" spans="1:13" s="1" customFormat="1" x14ac:dyDescent="0.25">
      <c r="A191" s="1" t="str">
        <f t="shared" si="13"/>
        <v>-</v>
      </c>
      <c r="B191" s="77" t="str">
        <f t="shared" si="14"/>
        <v>-</v>
      </c>
      <c r="C191" s="17" t="str">
        <f t="shared" si="12"/>
        <v>-</v>
      </c>
      <c r="D191" s="1" t="str">
        <f t="shared" si="11"/>
        <v/>
      </c>
      <c r="E191" s="20"/>
      <c r="K191" s="25"/>
      <c r="L191" s="23"/>
      <c r="M191" s="32"/>
    </row>
    <row r="192" spans="1:13" s="1" customFormat="1" x14ac:dyDescent="0.25">
      <c r="A192" s="1" t="str">
        <f t="shared" si="13"/>
        <v>-</v>
      </c>
      <c r="B192" s="77" t="str">
        <f t="shared" si="14"/>
        <v>-</v>
      </c>
      <c r="C192" s="17" t="str">
        <f t="shared" si="12"/>
        <v>-</v>
      </c>
      <c r="D192" s="1" t="str">
        <f t="shared" si="11"/>
        <v/>
      </c>
      <c r="E192" s="20"/>
      <c r="K192" s="25"/>
      <c r="L192" s="23"/>
      <c r="M192" s="32"/>
    </row>
    <row r="193" spans="1:13" s="1" customFormat="1" x14ac:dyDescent="0.25">
      <c r="A193" s="1" t="str">
        <f t="shared" si="13"/>
        <v>-</v>
      </c>
      <c r="B193" s="77" t="str">
        <f t="shared" si="14"/>
        <v>-</v>
      </c>
      <c r="C193" s="17" t="str">
        <f t="shared" si="12"/>
        <v>-</v>
      </c>
      <c r="D193" s="1" t="str">
        <f t="shared" si="11"/>
        <v/>
      </c>
      <c r="E193" s="20"/>
      <c r="K193" s="25"/>
      <c r="L193" s="23"/>
      <c r="M193" s="32"/>
    </row>
    <row r="194" spans="1:13" s="1" customFormat="1" x14ac:dyDescent="0.25">
      <c r="A194" s="1" t="str">
        <f t="shared" si="13"/>
        <v>-</v>
      </c>
      <c r="B194" s="77" t="str">
        <f t="shared" si="14"/>
        <v>-</v>
      </c>
      <c r="C194" s="17" t="str">
        <f t="shared" si="12"/>
        <v>-</v>
      </c>
      <c r="D194" s="1" t="str">
        <f t="shared" si="11"/>
        <v/>
      </c>
      <c r="E194" s="20"/>
      <c r="K194" s="25"/>
      <c r="L194" s="23"/>
      <c r="M194" s="32"/>
    </row>
    <row r="195" spans="1:13" s="1" customFormat="1" x14ac:dyDescent="0.25">
      <c r="A195" s="1" t="str">
        <f t="shared" si="13"/>
        <v>-</v>
      </c>
      <c r="B195" s="77" t="str">
        <f t="shared" si="14"/>
        <v>-</v>
      </c>
      <c r="C195" s="17" t="str">
        <f t="shared" si="12"/>
        <v>-</v>
      </c>
      <c r="D195" s="1" t="str">
        <f t="shared" si="11"/>
        <v/>
      </c>
      <c r="E195" s="20"/>
      <c r="K195" s="25"/>
      <c r="L195" s="23"/>
      <c r="M195" s="32"/>
    </row>
    <row r="196" spans="1:13" s="1" customFormat="1" x14ac:dyDescent="0.25">
      <c r="A196" s="1" t="str">
        <f t="shared" si="13"/>
        <v>-</v>
      </c>
      <c r="B196" s="77" t="str">
        <f t="shared" si="14"/>
        <v>-</v>
      </c>
      <c r="C196" s="17" t="str">
        <f t="shared" si="12"/>
        <v>-</v>
      </c>
      <c r="D196" s="1" t="str">
        <f t="shared" si="11"/>
        <v/>
      </c>
      <c r="E196" s="20"/>
      <c r="K196" s="25"/>
      <c r="L196" s="23"/>
      <c r="M196" s="32"/>
    </row>
    <row r="197" spans="1:13" s="1" customFormat="1" x14ac:dyDescent="0.25">
      <c r="A197" s="1" t="str">
        <f t="shared" si="13"/>
        <v>-</v>
      </c>
      <c r="B197" s="77" t="str">
        <f t="shared" si="14"/>
        <v>-</v>
      </c>
      <c r="C197" s="17" t="str">
        <f t="shared" si="12"/>
        <v>-</v>
      </c>
      <c r="D197" s="1" t="str">
        <f t="shared" si="11"/>
        <v/>
      </c>
      <c r="E197" s="20"/>
      <c r="K197" s="25"/>
      <c r="L197" s="23"/>
      <c r="M197" s="32"/>
    </row>
    <row r="198" spans="1:13" s="1" customFormat="1" x14ac:dyDescent="0.25">
      <c r="A198" s="1" t="str">
        <f t="shared" si="13"/>
        <v>-</v>
      </c>
      <c r="B198" s="77" t="str">
        <f t="shared" si="14"/>
        <v>-</v>
      </c>
      <c r="C198" s="17" t="str">
        <f t="shared" si="12"/>
        <v>-</v>
      </c>
      <c r="D198" s="1" t="str">
        <f t="shared" si="11"/>
        <v/>
      </c>
      <c r="E198" s="20"/>
      <c r="K198" s="25"/>
      <c r="L198" s="23"/>
      <c r="M198" s="32"/>
    </row>
    <row r="199" spans="1:13" s="1" customFormat="1" x14ac:dyDescent="0.25">
      <c r="A199" s="1" t="str">
        <f t="shared" si="13"/>
        <v>-</v>
      </c>
      <c r="B199" s="77" t="str">
        <f t="shared" si="14"/>
        <v>-</v>
      </c>
      <c r="C199" s="17" t="str">
        <f t="shared" si="12"/>
        <v>-</v>
      </c>
      <c r="D199" s="1" t="str">
        <f t="shared" si="11"/>
        <v/>
      </c>
      <c r="E199" s="20"/>
      <c r="K199" s="25"/>
      <c r="L199" s="23"/>
      <c r="M199" s="32"/>
    </row>
    <row r="200" spans="1:13" s="1" customFormat="1" x14ac:dyDescent="0.25">
      <c r="A200" s="1" t="str">
        <f t="shared" si="13"/>
        <v>-</v>
      </c>
      <c r="B200" s="77" t="str">
        <f t="shared" si="14"/>
        <v>-</v>
      </c>
      <c r="C200" s="17" t="str">
        <f t="shared" si="12"/>
        <v>-</v>
      </c>
      <c r="D200" s="1" t="str">
        <f t="shared" ref="D200:D263" si="15">IF(F200&lt;&gt;"",RIGHT(F200, LEN(F200) - FIND(" - ", F200) - 2),"")</f>
        <v/>
      </c>
      <c r="E200" s="20"/>
      <c r="K200" s="25"/>
      <c r="L200" s="23"/>
      <c r="M200" s="32"/>
    </row>
    <row r="201" spans="1:13" s="1" customFormat="1" x14ac:dyDescent="0.25">
      <c r="A201" s="1" t="str">
        <f t="shared" si="13"/>
        <v>-</v>
      </c>
      <c r="B201" s="77" t="str">
        <f t="shared" si="14"/>
        <v>-</v>
      </c>
      <c r="C201" s="17" t="str">
        <f t="shared" si="12"/>
        <v>-</v>
      </c>
      <c r="D201" s="1" t="str">
        <f t="shared" si="15"/>
        <v/>
      </c>
      <c r="E201" s="20"/>
      <c r="K201" s="25"/>
      <c r="L201" s="23"/>
      <c r="M201" s="32"/>
    </row>
    <row r="202" spans="1:13" s="1" customFormat="1" x14ac:dyDescent="0.25">
      <c r="A202" s="1" t="str">
        <f t="shared" si="13"/>
        <v>-</v>
      </c>
      <c r="B202" s="77" t="str">
        <f t="shared" si="14"/>
        <v>-</v>
      </c>
      <c r="C202" s="17" t="str">
        <f t="shared" si="12"/>
        <v>-</v>
      </c>
      <c r="D202" s="1" t="str">
        <f t="shared" si="15"/>
        <v/>
      </c>
      <c r="E202" s="20"/>
      <c r="K202" s="25"/>
      <c r="L202" s="23"/>
      <c r="M202" s="32"/>
    </row>
    <row r="203" spans="1:13" s="1" customFormat="1" x14ac:dyDescent="0.25">
      <c r="A203" s="1" t="str">
        <f t="shared" si="13"/>
        <v>-</v>
      </c>
      <c r="B203" s="77" t="str">
        <f t="shared" si="14"/>
        <v>-</v>
      </c>
      <c r="C203" s="17" t="str">
        <f t="shared" si="12"/>
        <v>-</v>
      </c>
      <c r="D203" s="1" t="str">
        <f t="shared" si="15"/>
        <v/>
      </c>
      <c r="E203" s="20"/>
      <c r="K203" s="25"/>
      <c r="L203" s="23"/>
      <c r="M203" s="32"/>
    </row>
    <row r="204" spans="1:13" s="1" customFormat="1" x14ac:dyDescent="0.25">
      <c r="A204" s="1" t="str">
        <f t="shared" si="13"/>
        <v>-</v>
      </c>
      <c r="B204" s="77" t="str">
        <f t="shared" si="14"/>
        <v>-</v>
      </c>
      <c r="C204" s="17" t="str">
        <f t="shared" si="12"/>
        <v>-</v>
      </c>
      <c r="D204" s="1" t="str">
        <f t="shared" si="15"/>
        <v/>
      </c>
      <c r="E204" s="20"/>
      <c r="K204" s="25"/>
      <c r="L204" s="23"/>
      <c r="M204" s="32"/>
    </row>
    <row r="205" spans="1:13" s="1" customFormat="1" x14ac:dyDescent="0.25">
      <c r="A205" s="1" t="str">
        <f t="shared" si="13"/>
        <v>-</v>
      </c>
      <c r="B205" s="77" t="str">
        <f t="shared" si="14"/>
        <v>-</v>
      </c>
      <c r="C205" s="17" t="str">
        <f t="shared" si="12"/>
        <v>-</v>
      </c>
      <c r="D205" s="1" t="str">
        <f t="shared" si="15"/>
        <v/>
      </c>
      <c r="E205" s="20"/>
      <c r="K205" s="25"/>
      <c r="L205" s="23"/>
      <c r="M205" s="32"/>
    </row>
    <row r="206" spans="1:13" s="1" customFormat="1" x14ac:dyDescent="0.25">
      <c r="A206" s="1" t="str">
        <f t="shared" si="13"/>
        <v>-</v>
      </c>
      <c r="B206" s="77" t="str">
        <f t="shared" si="14"/>
        <v>-</v>
      </c>
      <c r="C206" s="17" t="str">
        <f t="shared" si="12"/>
        <v>-</v>
      </c>
      <c r="D206" s="1" t="str">
        <f t="shared" si="15"/>
        <v/>
      </c>
      <c r="E206" s="20"/>
      <c r="K206" s="25"/>
      <c r="L206" s="23"/>
      <c r="M206" s="32"/>
    </row>
    <row r="207" spans="1:13" s="1" customFormat="1" x14ac:dyDescent="0.25">
      <c r="A207" s="1" t="str">
        <f t="shared" si="13"/>
        <v>-</v>
      </c>
      <c r="B207" s="77" t="str">
        <f t="shared" si="14"/>
        <v>-</v>
      </c>
      <c r="C207" s="17" t="str">
        <f t="shared" si="12"/>
        <v>-</v>
      </c>
      <c r="D207" s="1" t="str">
        <f t="shared" si="15"/>
        <v/>
      </c>
      <c r="E207" s="20"/>
      <c r="K207" s="25"/>
      <c r="L207" s="23"/>
      <c r="M207" s="32"/>
    </row>
    <row r="208" spans="1:13" s="1" customFormat="1" x14ac:dyDescent="0.25">
      <c r="A208" s="1" t="str">
        <f t="shared" si="13"/>
        <v>-</v>
      </c>
      <c r="B208" s="77" t="str">
        <f t="shared" si="14"/>
        <v>-</v>
      </c>
      <c r="C208" s="17" t="str">
        <f t="shared" si="12"/>
        <v>-</v>
      </c>
      <c r="D208" s="1" t="str">
        <f t="shared" si="15"/>
        <v/>
      </c>
      <c r="E208" s="20"/>
      <c r="K208" s="25"/>
      <c r="L208" s="23"/>
      <c r="M208" s="32"/>
    </row>
    <row r="209" spans="1:13" s="1" customFormat="1" x14ac:dyDescent="0.25">
      <c r="A209" s="1" t="str">
        <f t="shared" si="13"/>
        <v>-</v>
      </c>
      <c r="B209" s="77" t="str">
        <f t="shared" si="14"/>
        <v>-</v>
      </c>
      <c r="C209" s="17" t="str">
        <f t="shared" ref="C209:C272" si="16">IF(F209&lt;&gt;"", LEFT(RIGHT(F209, LEN(F209) - FIND("N°", F209) - 1), FIND(" ", RIGHT(F209, LEN(F209) - FIND("N°", F209) - 1) &amp; " ") - 1), "-")</f>
        <v>-</v>
      </c>
      <c r="D209" s="1" t="str">
        <f t="shared" si="15"/>
        <v/>
      </c>
      <c r="E209" s="20"/>
      <c r="K209" s="25"/>
      <c r="L209" s="23"/>
      <c r="M209" s="32"/>
    </row>
    <row r="210" spans="1:13" s="1" customFormat="1" x14ac:dyDescent="0.25">
      <c r="A210" s="1" t="str">
        <f t="shared" si="13"/>
        <v>-</v>
      </c>
      <c r="B210" s="77" t="str">
        <f t="shared" si="14"/>
        <v>-</v>
      </c>
      <c r="C210" s="17" t="str">
        <f t="shared" si="16"/>
        <v>-</v>
      </c>
      <c r="D210" s="1" t="str">
        <f t="shared" si="15"/>
        <v/>
      </c>
      <c r="E210" s="20"/>
      <c r="K210" s="25"/>
      <c r="L210" s="23"/>
      <c r="M210" s="32"/>
    </row>
    <row r="211" spans="1:13" s="1" customFormat="1" x14ac:dyDescent="0.25">
      <c r="A211" s="1" t="str">
        <f t="shared" si="13"/>
        <v>-</v>
      </c>
      <c r="B211" s="77" t="str">
        <f t="shared" si="14"/>
        <v>-</v>
      </c>
      <c r="C211" s="17" t="str">
        <f t="shared" si="16"/>
        <v>-</v>
      </c>
      <c r="D211" s="1" t="str">
        <f t="shared" si="15"/>
        <v/>
      </c>
      <c r="E211" s="20"/>
      <c r="K211" s="25"/>
      <c r="L211" s="23"/>
      <c r="M211" s="32"/>
    </row>
    <row r="212" spans="1:13" s="1" customFormat="1" x14ac:dyDescent="0.25">
      <c r="A212" s="1" t="str">
        <f t="shared" si="13"/>
        <v>-</v>
      </c>
      <c r="B212" s="77" t="str">
        <f t="shared" si="14"/>
        <v>-</v>
      </c>
      <c r="C212" s="17" t="str">
        <f t="shared" si="16"/>
        <v>-</v>
      </c>
      <c r="D212" s="1" t="str">
        <f t="shared" si="15"/>
        <v/>
      </c>
      <c r="E212" s="20"/>
      <c r="K212" s="25"/>
      <c r="L212" s="23"/>
      <c r="M212" s="32"/>
    </row>
    <row r="213" spans="1:13" s="1" customFormat="1" x14ac:dyDescent="0.25">
      <c r="A213" s="1" t="str">
        <f t="shared" ref="A213:A276" si="17">IF(E213&lt;&gt;"",TEXT(E213, "hh:mm"),"-")</f>
        <v>-</v>
      </c>
      <c r="B213" s="77" t="str">
        <f t="shared" ref="B213:B276" si="18">IF(E213&lt;&gt;"",DATE(YEAR(E213),MONTH(E213), DAY(E213)),"-")</f>
        <v>-</v>
      </c>
      <c r="C213" s="17" t="str">
        <f t="shared" si="16"/>
        <v>-</v>
      </c>
      <c r="D213" s="1" t="str">
        <f t="shared" si="15"/>
        <v/>
      </c>
      <c r="E213" s="20"/>
      <c r="K213" s="25"/>
      <c r="L213" s="23"/>
      <c r="M213" s="32"/>
    </row>
    <row r="214" spans="1:13" s="1" customFormat="1" x14ac:dyDescent="0.25">
      <c r="A214" s="1" t="str">
        <f t="shared" si="17"/>
        <v>-</v>
      </c>
      <c r="B214" s="77" t="str">
        <f t="shared" si="18"/>
        <v>-</v>
      </c>
      <c r="C214" s="17" t="str">
        <f t="shared" si="16"/>
        <v>-</v>
      </c>
      <c r="D214" s="1" t="str">
        <f t="shared" si="15"/>
        <v/>
      </c>
      <c r="E214" s="20"/>
      <c r="K214" s="25"/>
      <c r="L214" s="23"/>
      <c r="M214" s="32"/>
    </row>
    <row r="215" spans="1:13" s="1" customFormat="1" x14ac:dyDescent="0.25">
      <c r="A215" s="1" t="str">
        <f t="shared" si="17"/>
        <v>-</v>
      </c>
      <c r="B215" s="77" t="str">
        <f t="shared" si="18"/>
        <v>-</v>
      </c>
      <c r="C215" s="17" t="str">
        <f t="shared" si="16"/>
        <v>-</v>
      </c>
      <c r="D215" s="1" t="str">
        <f t="shared" si="15"/>
        <v/>
      </c>
      <c r="E215" s="20"/>
      <c r="K215" s="25"/>
      <c r="L215" s="23"/>
      <c r="M215" s="32"/>
    </row>
    <row r="216" spans="1:13" s="1" customFormat="1" x14ac:dyDescent="0.25">
      <c r="A216" s="1" t="str">
        <f t="shared" si="17"/>
        <v>-</v>
      </c>
      <c r="B216" s="77" t="str">
        <f t="shared" si="18"/>
        <v>-</v>
      </c>
      <c r="C216" s="17" t="str">
        <f t="shared" si="16"/>
        <v>-</v>
      </c>
      <c r="D216" s="1" t="str">
        <f t="shared" si="15"/>
        <v/>
      </c>
      <c r="E216" s="20"/>
      <c r="K216" s="25"/>
      <c r="L216" s="23"/>
      <c r="M216" s="32"/>
    </row>
    <row r="217" spans="1:13" s="1" customFormat="1" x14ac:dyDescent="0.25">
      <c r="A217" s="1" t="str">
        <f t="shared" si="17"/>
        <v>-</v>
      </c>
      <c r="B217" s="77" t="str">
        <f t="shared" si="18"/>
        <v>-</v>
      </c>
      <c r="C217" s="17" t="str">
        <f t="shared" si="16"/>
        <v>-</v>
      </c>
      <c r="D217" s="1" t="str">
        <f t="shared" si="15"/>
        <v/>
      </c>
      <c r="E217" s="20"/>
      <c r="K217" s="25"/>
      <c r="L217" s="23"/>
      <c r="M217" s="32"/>
    </row>
    <row r="218" spans="1:13" s="1" customFormat="1" x14ac:dyDescent="0.25">
      <c r="A218" s="1" t="str">
        <f t="shared" si="17"/>
        <v>-</v>
      </c>
      <c r="B218" s="77" t="str">
        <f t="shared" si="18"/>
        <v>-</v>
      </c>
      <c r="C218" s="17" t="str">
        <f t="shared" si="16"/>
        <v>-</v>
      </c>
      <c r="D218" s="1" t="str">
        <f t="shared" si="15"/>
        <v/>
      </c>
      <c r="E218" s="20"/>
      <c r="K218" s="25"/>
      <c r="L218" s="23"/>
      <c r="M218" s="32"/>
    </row>
    <row r="219" spans="1:13" s="1" customFormat="1" x14ac:dyDescent="0.25">
      <c r="A219" s="1" t="str">
        <f t="shared" si="17"/>
        <v>-</v>
      </c>
      <c r="B219" s="77" t="str">
        <f t="shared" si="18"/>
        <v>-</v>
      </c>
      <c r="C219" s="17" t="str">
        <f t="shared" si="16"/>
        <v>-</v>
      </c>
      <c r="D219" s="1" t="str">
        <f t="shared" si="15"/>
        <v/>
      </c>
      <c r="E219" s="20"/>
      <c r="K219" s="25"/>
      <c r="L219" s="23"/>
      <c r="M219" s="32"/>
    </row>
    <row r="220" spans="1:13" s="1" customFormat="1" x14ac:dyDescent="0.25">
      <c r="A220" s="1" t="str">
        <f t="shared" si="17"/>
        <v>-</v>
      </c>
      <c r="B220" s="77" t="str">
        <f t="shared" si="18"/>
        <v>-</v>
      </c>
      <c r="C220" s="17" t="str">
        <f t="shared" si="16"/>
        <v>-</v>
      </c>
      <c r="D220" s="1" t="str">
        <f t="shared" si="15"/>
        <v/>
      </c>
      <c r="E220" s="20"/>
      <c r="K220" s="25"/>
      <c r="L220" s="23"/>
      <c r="M220" s="32"/>
    </row>
    <row r="221" spans="1:13" s="1" customFormat="1" x14ac:dyDescent="0.25">
      <c r="A221" s="1" t="str">
        <f t="shared" si="17"/>
        <v>-</v>
      </c>
      <c r="B221" s="77" t="str">
        <f t="shared" si="18"/>
        <v>-</v>
      </c>
      <c r="C221" s="17" t="str">
        <f t="shared" si="16"/>
        <v>-</v>
      </c>
      <c r="D221" s="1" t="str">
        <f t="shared" si="15"/>
        <v/>
      </c>
      <c r="E221" s="20"/>
      <c r="K221" s="25"/>
      <c r="L221" s="23"/>
      <c r="M221" s="32"/>
    </row>
    <row r="222" spans="1:13" s="1" customFormat="1" x14ac:dyDescent="0.25">
      <c r="A222" s="1" t="str">
        <f t="shared" si="17"/>
        <v>-</v>
      </c>
      <c r="B222" s="77" t="str">
        <f t="shared" si="18"/>
        <v>-</v>
      </c>
      <c r="C222" s="17" t="str">
        <f t="shared" si="16"/>
        <v>-</v>
      </c>
      <c r="D222" s="1" t="str">
        <f t="shared" si="15"/>
        <v/>
      </c>
      <c r="E222" s="20"/>
      <c r="K222" s="25"/>
      <c r="L222" s="23"/>
      <c r="M222" s="32"/>
    </row>
    <row r="223" spans="1:13" s="1" customFormat="1" x14ac:dyDescent="0.25">
      <c r="A223" s="1" t="str">
        <f t="shared" si="17"/>
        <v>-</v>
      </c>
      <c r="B223" s="77" t="str">
        <f t="shared" si="18"/>
        <v>-</v>
      </c>
      <c r="C223" s="17" t="str">
        <f t="shared" si="16"/>
        <v>-</v>
      </c>
      <c r="D223" s="1" t="str">
        <f t="shared" si="15"/>
        <v/>
      </c>
      <c r="E223" s="20"/>
      <c r="K223" s="25"/>
      <c r="L223" s="23"/>
      <c r="M223" s="32"/>
    </row>
    <row r="224" spans="1:13" s="1" customFormat="1" x14ac:dyDescent="0.25">
      <c r="A224" s="1" t="str">
        <f t="shared" si="17"/>
        <v>-</v>
      </c>
      <c r="B224" s="77" t="str">
        <f t="shared" si="18"/>
        <v>-</v>
      </c>
      <c r="C224" s="17" t="str">
        <f t="shared" si="16"/>
        <v>-</v>
      </c>
      <c r="D224" s="1" t="str">
        <f t="shared" si="15"/>
        <v/>
      </c>
      <c r="E224" s="20"/>
      <c r="K224" s="25"/>
      <c r="L224" s="23"/>
      <c r="M224" s="32"/>
    </row>
    <row r="225" spans="1:13" s="1" customFormat="1" x14ac:dyDescent="0.25">
      <c r="A225" s="1" t="str">
        <f t="shared" si="17"/>
        <v>-</v>
      </c>
      <c r="B225" s="77" t="str">
        <f t="shared" si="18"/>
        <v>-</v>
      </c>
      <c r="C225" s="17" t="str">
        <f t="shared" si="16"/>
        <v>-</v>
      </c>
      <c r="D225" s="1" t="str">
        <f t="shared" si="15"/>
        <v/>
      </c>
      <c r="E225" s="20"/>
      <c r="K225" s="25"/>
      <c r="L225" s="23"/>
      <c r="M225" s="32"/>
    </row>
    <row r="226" spans="1:13" s="1" customFormat="1" x14ac:dyDescent="0.25">
      <c r="A226" s="1" t="str">
        <f t="shared" si="17"/>
        <v>-</v>
      </c>
      <c r="B226" s="77" t="str">
        <f t="shared" si="18"/>
        <v>-</v>
      </c>
      <c r="C226" s="17" t="str">
        <f t="shared" si="16"/>
        <v>-</v>
      </c>
      <c r="D226" s="1" t="str">
        <f t="shared" si="15"/>
        <v/>
      </c>
      <c r="E226" s="20"/>
      <c r="K226" s="25"/>
      <c r="L226" s="23"/>
      <c r="M226" s="32"/>
    </row>
    <row r="227" spans="1:13" s="1" customFormat="1" x14ac:dyDescent="0.25">
      <c r="A227" s="1" t="str">
        <f t="shared" si="17"/>
        <v>-</v>
      </c>
      <c r="B227" s="77" t="str">
        <f t="shared" si="18"/>
        <v>-</v>
      </c>
      <c r="C227" s="17" t="str">
        <f t="shared" si="16"/>
        <v>-</v>
      </c>
      <c r="D227" s="1" t="str">
        <f t="shared" si="15"/>
        <v/>
      </c>
      <c r="E227" s="20"/>
      <c r="K227" s="25"/>
      <c r="L227" s="23"/>
      <c r="M227" s="32"/>
    </row>
    <row r="228" spans="1:13" s="1" customFormat="1" x14ac:dyDescent="0.25">
      <c r="A228" s="1" t="str">
        <f t="shared" si="17"/>
        <v>-</v>
      </c>
      <c r="B228" s="77" t="str">
        <f t="shared" si="18"/>
        <v>-</v>
      </c>
      <c r="C228" s="17" t="str">
        <f t="shared" si="16"/>
        <v>-</v>
      </c>
      <c r="D228" s="1" t="str">
        <f t="shared" si="15"/>
        <v/>
      </c>
      <c r="E228" s="20"/>
      <c r="K228" s="25"/>
      <c r="L228" s="23"/>
      <c r="M228" s="32"/>
    </row>
    <row r="229" spans="1:13" s="1" customFormat="1" x14ac:dyDescent="0.25">
      <c r="A229" s="1" t="str">
        <f t="shared" si="17"/>
        <v>-</v>
      </c>
      <c r="B229" s="77" t="str">
        <f t="shared" si="18"/>
        <v>-</v>
      </c>
      <c r="C229" s="17" t="str">
        <f t="shared" si="16"/>
        <v>-</v>
      </c>
      <c r="D229" s="1" t="str">
        <f t="shared" si="15"/>
        <v/>
      </c>
      <c r="E229" s="20"/>
      <c r="K229" s="25"/>
      <c r="L229" s="23"/>
      <c r="M229" s="32"/>
    </row>
    <row r="230" spans="1:13" s="1" customFormat="1" x14ac:dyDescent="0.25">
      <c r="A230" s="1" t="str">
        <f t="shared" si="17"/>
        <v>-</v>
      </c>
      <c r="B230" s="77" t="str">
        <f t="shared" si="18"/>
        <v>-</v>
      </c>
      <c r="C230" s="17" t="str">
        <f t="shared" si="16"/>
        <v>-</v>
      </c>
      <c r="D230" s="1" t="str">
        <f t="shared" si="15"/>
        <v/>
      </c>
      <c r="E230" s="20"/>
      <c r="K230" s="25"/>
      <c r="L230" s="23"/>
      <c r="M230" s="32"/>
    </row>
    <row r="231" spans="1:13" s="1" customFormat="1" x14ac:dyDescent="0.25">
      <c r="A231" s="1" t="str">
        <f t="shared" si="17"/>
        <v>-</v>
      </c>
      <c r="B231" s="77" t="str">
        <f t="shared" si="18"/>
        <v>-</v>
      </c>
      <c r="C231" s="17" t="str">
        <f t="shared" si="16"/>
        <v>-</v>
      </c>
      <c r="D231" s="1" t="str">
        <f t="shared" si="15"/>
        <v/>
      </c>
      <c r="E231" s="20"/>
      <c r="K231" s="25"/>
      <c r="L231" s="23"/>
      <c r="M231" s="32"/>
    </row>
    <row r="232" spans="1:13" s="1" customFormat="1" x14ac:dyDescent="0.25">
      <c r="A232" s="1" t="str">
        <f t="shared" si="17"/>
        <v>-</v>
      </c>
      <c r="B232" s="77" t="str">
        <f t="shared" si="18"/>
        <v>-</v>
      </c>
      <c r="C232" s="17" t="str">
        <f t="shared" si="16"/>
        <v>-</v>
      </c>
      <c r="D232" s="1" t="str">
        <f t="shared" si="15"/>
        <v/>
      </c>
      <c r="E232" s="20"/>
      <c r="K232" s="25"/>
      <c r="L232" s="23"/>
      <c r="M232" s="32"/>
    </row>
    <row r="233" spans="1:13" s="1" customFormat="1" x14ac:dyDescent="0.25">
      <c r="A233" s="1" t="str">
        <f t="shared" si="17"/>
        <v>-</v>
      </c>
      <c r="B233" s="77" t="str">
        <f t="shared" si="18"/>
        <v>-</v>
      </c>
      <c r="C233" s="17" t="str">
        <f t="shared" si="16"/>
        <v>-</v>
      </c>
      <c r="D233" s="1" t="str">
        <f t="shared" si="15"/>
        <v/>
      </c>
      <c r="E233" s="20"/>
      <c r="K233" s="25"/>
      <c r="L233" s="23"/>
      <c r="M233" s="32"/>
    </row>
    <row r="234" spans="1:13" s="1" customFormat="1" x14ac:dyDescent="0.25">
      <c r="A234" s="1" t="str">
        <f t="shared" si="17"/>
        <v>-</v>
      </c>
      <c r="B234" s="77" t="str">
        <f t="shared" si="18"/>
        <v>-</v>
      </c>
      <c r="C234" s="17" t="str">
        <f t="shared" si="16"/>
        <v>-</v>
      </c>
      <c r="D234" s="1" t="str">
        <f t="shared" si="15"/>
        <v/>
      </c>
      <c r="E234" s="20"/>
      <c r="K234" s="25"/>
      <c r="L234" s="23"/>
      <c r="M234" s="32"/>
    </row>
    <row r="235" spans="1:13" s="1" customFormat="1" x14ac:dyDescent="0.25">
      <c r="A235" s="1" t="str">
        <f t="shared" si="17"/>
        <v>-</v>
      </c>
      <c r="B235" s="77" t="str">
        <f t="shared" si="18"/>
        <v>-</v>
      </c>
      <c r="C235" s="17" t="str">
        <f t="shared" si="16"/>
        <v>-</v>
      </c>
      <c r="D235" s="1" t="str">
        <f t="shared" si="15"/>
        <v/>
      </c>
      <c r="E235" s="20"/>
      <c r="K235" s="25"/>
      <c r="L235" s="23"/>
      <c r="M235" s="32"/>
    </row>
    <row r="236" spans="1:13" s="1" customFormat="1" x14ac:dyDescent="0.25">
      <c r="A236" s="1" t="str">
        <f t="shared" si="17"/>
        <v>-</v>
      </c>
      <c r="B236" s="77" t="str">
        <f t="shared" si="18"/>
        <v>-</v>
      </c>
      <c r="C236" s="17" t="str">
        <f t="shared" si="16"/>
        <v>-</v>
      </c>
      <c r="D236" s="1" t="str">
        <f t="shared" si="15"/>
        <v/>
      </c>
      <c r="E236" s="20"/>
      <c r="K236" s="25"/>
      <c r="L236" s="23"/>
      <c r="M236" s="32"/>
    </row>
    <row r="237" spans="1:13" s="1" customFormat="1" x14ac:dyDescent="0.25">
      <c r="A237" s="1" t="str">
        <f t="shared" si="17"/>
        <v>-</v>
      </c>
      <c r="B237" s="77" t="str">
        <f t="shared" si="18"/>
        <v>-</v>
      </c>
      <c r="C237" s="17" t="str">
        <f t="shared" si="16"/>
        <v>-</v>
      </c>
      <c r="D237" s="1" t="str">
        <f t="shared" si="15"/>
        <v/>
      </c>
      <c r="E237" s="20"/>
      <c r="K237" s="25"/>
      <c r="L237" s="23"/>
      <c r="M237" s="32"/>
    </row>
    <row r="238" spans="1:13" s="1" customFormat="1" x14ac:dyDescent="0.25">
      <c r="A238" s="1" t="str">
        <f t="shared" si="17"/>
        <v>-</v>
      </c>
      <c r="B238" s="77" t="str">
        <f t="shared" si="18"/>
        <v>-</v>
      </c>
      <c r="C238" s="17" t="str">
        <f t="shared" si="16"/>
        <v>-</v>
      </c>
      <c r="D238" s="1" t="str">
        <f t="shared" si="15"/>
        <v/>
      </c>
      <c r="E238" s="20"/>
      <c r="K238" s="25"/>
      <c r="L238" s="23"/>
      <c r="M238" s="32"/>
    </row>
    <row r="239" spans="1:13" s="1" customFormat="1" x14ac:dyDescent="0.25">
      <c r="A239" s="1" t="str">
        <f t="shared" si="17"/>
        <v>-</v>
      </c>
      <c r="B239" s="77" t="str">
        <f t="shared" si="18"/>
        <v>-</v>
      </c>
      <c r="C239" s="17" t="str">
        <f t="shared" si="16"/>
        <v>-</v>
      </c>
      <c r="D239" s="1" t="str">
        <f t="shared" si="15"/>
        <v/>
      </c>
      <c r="E239" s="20"/>
      <c r="K239" s="25"/>
      <c r="L239" s="23"/>
      <c r="M239" s="32"/>
    </row>
    <row r="240" spans="1:13" s="1" customFormat="1" x14ac:dyDescent="0.25">
      <c r="A240" s="1" t="str">
        <f t="shared" si="17"/>
        <v>-</v>
      </c>
      <c r="B240" s="77" t="str">
        <f t="shared" si="18"/>
        <v>-</v>
      </c>
      <c r="C240" s="17" t="str">
        <f t="shared" si="16"/>
        <v>-</v>
      </c>
      <c r="D240" s="1" t="str">
        <f t="shared" si="15"/>
        <v/>
      </c>
      <c r="E240" s="20"/>
      <c r="K240" s="25"/>
      <c r="L240" s="23"/>
      <c r="M240" s="32"/>
    </row>
    <row r="241" spans="1:13" s="1" customFormat="1" x14ac:dyDescent="0.25">
      <c r="A241" s="1" t="str">
        <f t="shared" si="17"/>
        <v>-</v>
      </c>
      <c r="B241" s="77" t="str">
        <f t="shared" si="18"/>
        <v>-</v>
      </c>
      <c r="C241" s="17" t="str">
        <f t="shared" si="16"/>
        <v>-</v>
      </c>
      <c r="D241" s="1" t="str">
        <f t="shared" si="15"/>
        <v/>
      </c>
      <c r="E241" s="20"/>
      <c r="K241" s="25"/>
      <c r="L241" s="23"/>
      <c r="M241" s="32"/>
    </row>
    <row r="242" spans="1:13" s="1" customFormat="1" x14ac:dyDescent="0.25">
      <c r="A242" s="1" t="str">
        <f t="shared" si="17"/>
        <v>-</v>
      </c>
      <c r="B242" s="77" t="str">
        <f t="shared" si="18"/>
        <v>-</v>
      </c>
      <c r="C242" s="17" t="str">
        <f t="shared" si="16"/>
        <v>-</v>
      </c>
      <c r="D242" s="1" t="str">
        <f t="shared" si="15"/>
        <v/>
      </c>
      <c r="E242" s="20"/>
      <c r="K242" s="25"/>
      <c r="L242" s="23"/>
      <c r="M242" s="32"/>
    </row>
    <row r="243" spans="1:13" s="1" customFormat="1" x14ac:dyDescent="0.25">
      <c r="A243" s="1" t="str">
        <f t="shared" si="17"/>
        <v>-</v>
      </c>
      <c r="B243" s="77" t="str">
        <f t="shared" si="18"/>
        <v>-</v>
      </c>
      <c r="C243" s="17" t="str">
        <f t="shared" si="16"/>
        <v>-</v>
      </c>
      <c r="D243" s="1" t="str">
        <f t="shared" si="15"/>
        <v/>
      </c>
      <c r="E243" s="20"/>
      <c r="K243" s="25"/>
      <c r="L243" s="23"/>
      <c r="M243" s="32"/>
    </row>
    <row r="244" spans="1:13" s="1" customFormat="1" x14ac:dyDescent="0.25">
      <c r="A244" s="1" t="str">
        <f t="shared" si="17"/>
        <v>-</v>
      </c>
      <c r="B244" s="77" t="str">
        <f t="shared" si="18"/>
        <v>-</v>
      </c>
      <c r="C244" s="17" t="str">
        <f t="shared" si="16"/>
        <v>-</v>
      </c>
      <c r="D244" s="1" t="str">
        <f t="shared" si="15"/>
        <v/>
      </c>
      <c r="E244" s="20"/>
      <c r="K244" s="25"/>
      <c r="L244" s="23"/>
      <c r="M244" s="32"/>
    </row>
    <row r="245" spans="1:13" s="1" customFormat="1" x14ac:dyDescent="0.25">
      <c r="A245" s="1" t="str">
        <f t="shared" si="17"/>
        <v>-</v>
      </c>
      <c r="B245" s="77" t="str">
        <f t="shared" si="18"/>
        <v>-</v>
      </c>
      <c r="C245" s="17" t="str">
        <f t="shared" si="16"/>
        <v>-</v>
      </c>
      <c r="D245" s="1" t="str">
        <f t="shared" si="15"/>
        <v/>
      </c>
      <c r="E245" s="20"/>
      <c r="K245" s="25"/>
      <c r="L245" s="23"/>
      <c r="M245" s="32"/>
    </row>
    <row r="246" spans="1:13" s="1" customFormat="1" x14ac:dyDescent="0.25">
      <c r="A246" s="1" t="str">
        <f t="shared" si="17"/>
        <v>-</v>
      </c>
      <c r="B246" s="77" t="str">
        <f t="shared" si="18"/>
        <v>-</v>
      </c>
      <c r="C246" s="17" t="str">
        <f t="shared" si="16"/>
        <v>-</v>
      </c>
      <c r="D246" s="1" t="str">
        <f t="shared" si="15"/>
        <v/>
      </c>
      <c r="E246" s="20"/>
      <c r="K246" s="25"/>
      <c r="L246" s="23"/>
      <c r="M246" s="32"/>
    </row>
    <row r="247" spans="1:13" s="1" customFormat="1" x14ac:dyDescent="0.25">
      <c r="A247" s="1" t="str">
        <f t="shared" si="17"/>
        <v>-</v>
      </c>
      <c r="B247" s="77" t="str">
        <f t="shared" si="18"/>
        <v>-</v>
      </c>
      <c r="C247" s="17" t="str">
        <f t="shared" si="16"/>
        <v>-</v>
      </c>
      <c r="D247" s="1" t="str">
        <f t="shared" si="15"/>
        <v/>
      </c>
      <c r="E247" s="20"/>
      <c r="K247" s="25"/>
      <c r="L247" s="23"/>
      <c r="M247" s="32"/>
    </row>
    <row r="248" spans="1:13" s="1" customFormat="1" x14ac:dyDescent="0.25">
      <c r="A248" s="1" t="str">
        <f t="shared" si="17"/>
        <v>-</v>
      </c>
      <c r="B248" s="77" t="str">
        <f t="shared" si="18"/>
        <v>-</v>
      </c>
      <c r="C248" s="17" t="str">
        <f t="shared" si="16"/>
        <v>-</v>
      </c>
      <c r="D248" s="1" t="str">
        <f t="shared" si="15"/>
        <v/>
      </c>
      <c r="E248" s="20"/>
      <c r="K248" s="25"/>
      <c r="L248" s="23"/>
      <c r="M248" s="32"/>
    </row>
    <row r="249" spans="1:13" s="1" customFormat="1" x14ac:dyDescent="0.25">
      <c r="A249" s="1" t="str">
        <f t="shared" si="17"/>
        <v>-</v>
      </c>
      <c r="B249" s="77" t="str">
        <f t="shared" si="18"/>
        <v>-</v>
      </c>
      <c r="C249" s="17" t="str">
        <f t="shared" si="16"/>
        <v>-</v>
      </c>
      <c r="D249" s="1" t="str">
        <f t="shared" si="15"/>
        <v/>
      </c>
      <c r="E249" s="20"/>
      <c r="K249" s="25"/>
      <c r="L249" s="23"/>
      <c r="M249" s="32"/>
    </row>
    <row r="250" spans="1:13" s="1" customFormat="1" x14ac:dyDescent="0.25">
      <c r="A250" s="1" t="str">
        <f t="shared" si="17"/>
        <v>-</v>
      </c>
      <c r="B250" s="77" t="str">
        <f t="shared" si="18"/>
        <v>-</v>
      </c>
      <c r="C250" s="17" t="str">
        <f t="shared" si="16"/>
        <v>-</v>
      </c>
      <c r="D250" s="1" t="str">
        <f t="shared" si="15"/>
        <v/>
      </c>
      <c r="E250" s="20"/>
      <c r="K250" s="25"/>
      <c r="L250" s="23"/>
      <c r="M250" s="32"/>
    </row>
    <row r="251" spans="1:13" s="1" customFormat="1" x14ac:dyDescent="0.25">
      <c r="A251" s="1" t="str">
        <f t="shared" si="17"/>
        <v>-</v>
      </c>
      <c r="B251" s="77" t="str">
        <f t="shared" si="18"/>
        <v>-</v>
      </c>
      <c r="C251" s="17" t="str">
        <f t="shared" si="16"/>
        <v>-</v>
      </c>
      <c r="D251" s="1" t="str">
        <f t="shared" si="15"/>
        <v/>
      </c>
      <c r="E251" s="20"/>
      <c r="K251" s="25"/>
      <c r="L251" s="23"/>
      <c r="M251" s="32"/>
    </row>
    <row r="252" spans="1:13" s="1" customFormat="1" x14ac:dyDescent="0.25">
      <c r="A252" s="1" t="str">
        <f t="shared" si="17"/>
        <v>-</v>
      </c>
      <c r="B252" s="77" t="str">
        <f t="shared" si="18"/>
        <v>-</v>
      </c>
      <c r="C252" s="17" t="str">
        <f t="shared" si="16"/>
        <v>-</v>
      </c>
      <c r="D252" s="1" t="str">
        <f t="shared" si="15"/>
        <v/>
      </c>
      <c r="E252" s="20"/>
      <c r="K252" s="25"/>
      <c r="L252" s="23"/>
      <c r="M252" s="32"/>
    </row>
    <row r="253" spans="1:13" s="1" customFormat="1" x14ac:dyDescent="0.25">
      <c r="A253" s="1" t="str">
        <f t="shared" si="17"/>
        <v>-</v>
      </c>
      <c r="B253" s="77" t="str">
        <f t="shared" si="18"/>
        <v>-</v>
      </c>
      <c r="C253" s="17" t="str">
        <f t="shared" si="16"/>
        <v>-</v>
      </c>
      <c r="D253" s="1" t="str">
        <f t="shared" si="15"/>
        <v/>
      </c>
      <c r="E253" s="20"/>
      <c r="K253" s="25"/>
      <c r="L253" s="23"/>
      <c r="M253" s="32"/>
    </row>
    <row r="254" spans="1:13" s="1" customFormat="1" x14ac:dyDescent="0.25">
      <c r="A254" s="1" t="str">
        <f t="shared" si="17"/>
        <v>-</v>
      </c>
      <c r="B254" s="77" t="str">
        <f t="shared" si="18"/>
        <v>-</v>
      </c>
      <c r="C254" s="17" t="str">
        <f t="shared" si="16"/>
        <v>-</v>
      </c>
      <c r="D254" s="1" t="str">
        <f t="shared" si="15"/>
        <v/>
      </c>
      <c r="E254" s="20"/>
      <c r="K254" s="25"/>
      <c r="L254" s="23"/>
      <c r="M254" s="32"/>
    </row>
    <row r="255" spans="1:13" s="1" customFormat="1" x14ac:dyDescent="0.25">
      <c r="A255" s="1" t="str">
        <f t="shared" si="17"/>
        <v>-</v>
      </c>
      <c r="B255" s="77" t="str">
        <f t="shared" si="18"/>
        <v>-</v>
      </c>
      <c r="C255" s="17" t="str">
        <f t="shared" si="16"/>
        <v>-</v>
      </c>
      <c r="D255" s="1" t="str">
        <f t="shared" si="15"/>
        <v/>
      </c>
      <c r="E255" s="20"/>
      <c r="K255" s="25"/>
      <c r="L255" s="23"/>
      <c r="M255" s="32"/>
    </row>
    <row r="256" spans="1:13" s="1" customFormat="1" x14ac:dyDescent="0.25">
      <c r="A256" s="1" t="str">
        <f t="shared" si="17"/>
        <v>-</v>
      </c>
      <c r="B256" s="77" t="str">
        <f t="shared" si="18"/>
        <v>-</v>
      </c>
      <c r="C256" s="17" t="str">
        <f t="shared" si="16"/>
        <v>-</v>
      </c>
      <c r="D256" s="1" t="str">
        <f t="shared" si="15"/>
        <v/>
      </c>
      <c r="E256" s="20"/>
      <c r="K256" s="25"/>
      <c r="L256" s="23"/>
      <c r="M256" s="32"/>
    </row>
    <row r="257" spans="1:13" s="1" customFormat="1" x14ac:dyDescent="0.25">
      <c r="A257" s="1" t="str">
        <f t="shared" si="17"/>
        <v>-</v>
      </c>
      <c r="B257" s="77" t="str">
        <f t="shared" si="18"/>
        <v>-</v>
      </c>
      <c r="C257" s="17" t="str">
        <f t="shared" si="16"/>
        <v>-</v>
      </c>
      <c r="D257" s="1" t="str">
        <f t="shared" si="15"/>
        <v/>
      </c>
      <c r="E257" s="20"/>
      <c r="K257" s="25"/>
      <c r="L257" s="23"/>
      <c r="M257" s="32"/>
    </row>
    <row r="258" spans="1:13" s="1" customFormat="1" x14ac:dyDescent="0.25">
      <c r="A258" s="1" t="str">
        <f t="shared" si="17"/>
        <v>-</v>
      </c>
      <c r="B258" s="77" t="str">
        <f t="shared" si="18"/>
        <v>-</v>
      </c>
      <c r="C258" s="17" t="str">
        <f t="shared" si="16"/>
        <v>-</v>
      </c>
      <c r="D258" s="1" t="str">
        <f t="shared" si="15"/>
        <v/>
      </c>
      <c r="E258" s="20"/>
      <c r="K258" s="25"/>
      <c r="L258" s="23"/>
      <c r="M258" s="32"/>
    </row>
    <row r="259" spans="1:13" s="1" customFormat="1" x14ac:dyDescent="0.25">
      <c r="A259" s="1" t="str">
        <f t="shared" si="17"/>
        <v>-</v>
      </c>
      <c r="B259" s="77" t="str">
        <f t="shared" si="18"/>
        <v>-</v>
      </c>
      <c r="C259" s="17" t="str">
        <f t="shared" si="16"/>
        <v>-</v>
      </c>
      <c r="D259" s="1" t="str">
        <f t="shared" si="15"/>
        <v/>
      </c>
      <c r="E259" s="20"/>
      <c r="K259" s="25"/>
      <c r="L259" s="23"/>
      <c r="M259" s="32"/>
    </row>
    <row r="260" spans="1:13" s="1" customFormat="1" x14ac:dyDescent="0.25">
      <c r="A260" s="1" t="str">
        <f t="shared" si="17"/>
        <v>-</v>
      </c>
      <c r="B260" s="77" t="str">
        <f t="shared" si="18"/>
        <v>-</v>
      </c>
      <c r="C260" s="17" t="str">
        <f t="shared" si="16"/>
        <v>-</v>
      </c>
      <c r="D260" s="1" t="str">
        <f t="shared" si="15"/>
        <v/>
      </c>
      <c r="E260" s="20"/>
      <c r="K260" s="25"/>
      <c r="L260" s="23"/>
      <c r="M260" s="32"/>
    </row>
    <row r="261" spans="1:13" s="1" customFormat="1" x14ac:dyDescent="0.25">
      <c r="A261" s="1" t="str">
        <f t="shared" si="17"/>
        <v>-</v>
      </c>
      <c r="B261" s="77" t="str">
        <f t="shared" si="18"/>
        <v>-</v>
      </c>
      <c r="C261" s="17" t="str">
        <f t="shared" si="16"/>
        <v>-</v>
      </c>
      <c r="D261" s="1" t="str">
        <f t="shared" si="15"/>
        <v/>
      </c>
      <c r="E261" s="20"/>
      <c r="K261" s="25"/>
      <c r="L261" s="23"/>
      <c r="M261" s="32"/>
    </row>
    <row r="262" spans="1:13" s="1" customFormat="1" x14ac:dyDescent="0.25">
      <c r="A262" s="1" t="str">
        <f t="shared" si="17"/>
        <v>-</v>
      </c>
      <c r="B262" s="77" t="str">
        <f t="shared" si="18"/>
        <v>-</v>
      </c>
      <c r="C262" s="17" t="str">
        <f t="shared" si="16"/>
        <v>-</v>
      </c>
      <c r="D262" s="1" t="str">
        <f t="shared" si="15"/>
        <v/>
      </c>
      <c r="E262" s="20"/>
      <c r="K262" s="25"/>
      <c r="L262" s="23"/>
      <c r="M262" s="32"/>
    </row>
    <row r="263" spans="1:13" s="1" customFormat="1" x14ac:dyDescent="0.25">
      <c r="A263" s="1" t="str">
        <f t="shared" si="17"/>
        <v>-</v>
      </c>
      <c r="B263" s="77" t="str">
        <f t="shared" si="18"/>
        <v>-</v>
      </c>
      <c r="C263" s="17" t="str">
        <f t="shared" si="16"/>
        <v>-</v>
      </c>
      <c r="D263" s="1" t="str">
        <f t="shared" si="15"/>
        <v/>
      </c>
      <c r="E263" s="20"/>
      <c r="K263" s="25"/>
      <c r="L263" s="23"/>
      <c r="M263" s="32"/>
    </row>
    <row r="264" spans="1:13" s="1" customFormat="1" x14ac:dyDescent="0.25">
      <c r="A264" s="1" t="str">
        <f t="shared" si="17"/>
        <v>-</v>
      </c>
      <c r="B264" s="77" t="str">
        <f t="shared" si="18"/>
        <v>-</v>
      </c>
      <c r="C264" s="17" t="str">
        <f t="shared" si="16"/>
        <v>-</v>
      </c>
      <c r="D264" s="1" t="str">
        <f t="shared" ref="D264:D327" si="19">IF(F264&lt;&gt;"",RIGHT(F264, LEN(F264) - FIND(" - ", F264) - 2),"")</f>
        <v/>
      </c>
      <c r="E264" s="20"/>
      <c r="K264" s="25"/>
      <c r="L264" s="23"/>
      <c r="M264" s="32"/>
    </row>
    <row r="265" spans="1:13" s="1" customFormat="1" x14ac:dyDescent="0.25">
      <c r="A265" s="1" t="str">
        <f t="shared" si="17"/>
        <v>-</v>
      </c>
      <c r="B265" s="77" t="str">
        <f t="shared" si="18"/>
        <v>-</v>
      </c>
      <c r="C265" s="17" t="str">
        <f t="shared" si="16"/>
        <v>-</v>
      </c>
      <c r="D265" s="1" t="str">
        <f t="shared" si="19"/>
        <v/>
      </c>
      <c r="E265" s="20"/>
      <c r="K265" s="25"/>
      <c r="L265" s="23"/>
      <c r="M265" s="32"/>
    </row>
    <row r="266" spans="1:13" s="1" customFormat="1" x14ac:dyDescent="0.25">
      <c r="A266" s="1" t="str">
        <f t="shared" si="17"/>
        <v>-</v>
      </c>
      <c r="B266" s="77" t="str">
        <f t="shared" si="18"/>
        <v>-</v>
      </c>
      <c r="C266" s="17" t="str">
        <f t="shared" si="16"/>
        <v>-</v>
      </c>
      <c r="D266" s="1" t="str">
        <f t="shared" si="19"/>
        <v/>
      </c>
      <c r="E266" s="20"/>
      <c r="K266" s="25"/>
      <c r="L266" s="23"/>
      <c r="M266" s="32"/>
    </row>
    <row r="267" spans="1:13" s="1" customFormat="1" x14ac:dyDescent="0.25">
      <c r="A267" s="1" t="str">
        <f t="shared" si="17"/>
        <v>-</v>
      </c>
      <c r="B267" s="77" t="str">
        <f t="shared" si="18"/>
        <v>-</v>
      </c>
      <c r="C267" s="17" t="str">
        <f t="shared" si="16"/>
        <v>-</v>
      </c>
      <c r="D267" s="1" t="str">
        <f t="shared" si="19"/>
        <v/>
      </c>
      <c r="E267" s="20"/>
      <c r="K267" s="25"/>
      <c r="L267" s="23"/>
      <c r="M267" s="32"/>
    </row>
    <row r="268" spans="1:13" s="1" customFormat="1" x14ac:dyDescent="0.25">
      <c r="A268" s="1" t="str">
        <f t="shared" si="17"/>
        <v>-</v>
      </c>
      <c r="B268" s="77" t="str">
        <f t="shared" si="18"/>
        <v>-</v>
      </c>
      <c r="C268" s="17" t="str">
        <f t="shared" si="16"/>
        <v>-</v>
      </c>
      <c r="D268" s="1" t="str">
        <f t="shared" si="19"/>
        <v/>
      </c>
      <c r="E268" s="20"/>
      <c r="K268" s="25"/>
      <c r="L268" s="23"/>
      <c r="M268" s="32"/>
    </row>
    <row r="269" spans="1:13" s="1" customFormat="1" x14ac:dyDescent="0.25">
      <c r="A269" s="1" t="str">
        <f t="shared" si="17"/>
        <v>-</v>
      </c>
      <c r="B269" s="77" t="str">
        <f t="shared" si="18"/>
        <v>-</v>
      </c>
      <c r="C269" s="17" t="str">
        <f t="shared" si="16"/>
        <v>-</v>
      </c>
      <c r="D269" s="1" t="str">
        <f t="shared" si="19"/>
        <v/>
      </c>
      <c r="E269" s="20"/>
      <c r="K269" s="25"/>
      <c r="L269" s="23"/>
      <c r="M269" s="32"/>
    </row>
    <row r="270" spans="1:13" s="1" customFormat="1" x14ac:dyDescent="0.25">
      <c r="A270" s="1" t="str">
        <f t="shared" si="17"/>
        <v>-</v>
      </c>
      <c r="B270" s="77" t="str">
        <f t="shared" si="18"/>
        <v>-</v>
      </c>
      <c r="C270" s="17" t="str">
        <f t="shared" si="16"/>
        <v>-</v>
      </c>
      <c r="D270" s="1" t="str">
        <f t="shared" si="19"/>
        <v/>
      </c>
      <c r="E270" s="20"/>
      <c r="K270" s="25"/>
      <c r="L270" s="23"/>
      <c r="M270" s="32"/>
    </row>
    <row r="271" spans="1:13" s="1" customFormat="1" x14ac:dyDescent="0.25">
      <c r="A271" s="1" t="str">
        <f t="shared" si="17"/>
        <v>-</v>
      </c>
      <c r="B271" s="77" t="str">
        <f t="shared" si="18"/>
        <v>-</v>
      </c>
      <c r="C271" s="17" t="str">
        <f t="shared" si="16"/>
        <v>-</v>
      </c>
      <c r="D271" s="1" t="str">
        <f t="shared" si="19"/>
        <v/>
      </c>
      <c r="E271" s="20"/>
      <c r="K271" s="25"/>
      <c r="L271" s="23"/>
      <c r="M271" s="32"/>
    </row>
    <row r="272" spans="1:13" s="1" customFormat="1" x14ac:dyDescent="0.25">
      <c r="A272" s="1" t="str">
        <f t="shared" si="17"/>
        <v>-</v>
      </c>
      <c r="B272" s="77" t="str">
        <f t="shared" si="18"/>
        <v>-</v>
      </c>
      <c r="C272" s="17" t="str">
        <f t="shared" si="16"/>
        <v>-</v>
      </c>
      <c r="D272" s="1" t="str">
        <f t="shared" si="19"/>
        <v/>
      </c>
      <c r="E272" s="20"/>
      <c r="K272" s="25"/>
      <c r="L272" s="23"/>
      <c r="M272" s="32"/>
    </row>
    <row r="273" spans="1:13" s="1" customFormat="1" x14ac:dyDescent="0.25">
      <c r="A273" s="1" t="str">
        <f t="shared" si="17"/>
        <v>-</v>
      </c>
      <c r="B273" s="77" t="str">
        <f t="shared" si="18"/>
        <v>-</v>
      </c>
      <c r="C273" s="17" t="str">
        <f t="shared" ref="C273:C286" si="20">IF(F273&lt;&gt;"", LEFT(RIGHT(F273, LEN(F273) - FIND("N°", F273) - 1), FIND(" ", RIGHT(F273, LEN(F273) - FIND("N°", F273) - 1) &amp; " ") - 1), "-")</f>
        <v>-</v>
      </c>
      <c r="D273" s="1" t="str">
        <f t="shared" si="19"/>
        <v/>
      </c>
      <c r="E273" s="20"/>
      <c r="K273" s="25"/>
      <c r="L273" s="23"/>
      <c r="M273" s="32"/>
    </row>
    <row r="274" spans="1:13" s="1" customFormat="1" x14ac:dyDescent="0.25">
      <c r="A274" s="1" t="str">
        <f t="shared" si="17"/>
        <v>-</v>
      </c>
      <c r="B274" s="77" t="str">
        <f t="shared" si="18"/>
        <v>-</v>
      </c>
      <c r="C274" s="17" t="str">
        <f t="shared" si="20"/>
        <v>-</v>
      </c>
      <c r="D274" s="1" t="str">
        <f t="shared" si="19"/>
        <v/>
      </c>
      <c r="E274" s="20"/>
      <c r="K274" s="25"/>
      <c r="L274" s="23"/>
      <c r="M274" s="32"/>
    </row>
    <row r="275" spans="1:13" s="1" customFormat="1" x14ac:dyDescent="0.25">
      <c r="A275" s="1" t="str">
        <f t="shared" si="17"/>
        <v>-</v>
      </c>
      <c r="B275" s="77" t="str">
        <f t="shared" si="18"/>
        <v>-</v>
      </c>
      <c r="C275" s="17" t="str">
        <f t="shared" si="20"/>
        <v>-</v>
      </c>
      <c r="D275" s="1" t="str">
        <f t="shared" si="19"/>
        <v/>
      </c>
      <c r="E275" s="20"/>
      <c r="K275" s="25"/>
      <c r="L275" s="23"/>
      <c r="M275" s="32"/>
    </row>
    <row r="276" spans="1:13" s="1" customFormat="1" x14ac:dyDescent="0.25">
      <c r="A276" s="1" t="str">
        <f t="shared" si="17"/>
        <v>-</v>
      </c>
      <c r="B276" s="77" t="str">
        <f t="shared" si="18"/>
        <v>-</v>
      </c>
      <c r="C276" s="17" t="str">
        <f t="shared" si="20"/>
        <v>-</v>
      </c>
      <c r="D276" s="1" t="str">
        <f t="shared" si="19"/>
        <v/>
      </c>
      <c r="E276" s="20"/>
      <c r="K276" s="25"/>
      <c r="L276" s="23"/>
      <c r="M276" s="32"/>
    </row>
    <row r="277" spans="1:13" s="1" customFormat="1" x14ac:dyDescent="0.25">
      <c r="A277" s="1" t="str">
        <f t="shared" ref="A277:A286" si="21">IF(E277&lt;&gt;"",TEXT(E277, "hh:mm"),"-")</f>
        <v>-</v>
      </c>
      <c r="B277" s="77" t="str">
        <f t="shared" ref="B277:B286" si="22">IF(E277&lt;&gt;"",DATE(YEAR(E277),MONTH(E277), DAY(E277)),"-")</f>
        <v>-</v>
      </c>
      <c r="C277" s="17" t="str">
        <f t="shared" si="20"/>
        <v>-</v>
      </c>
      <c r="D277" s="1" t="str">
        <f t="shared" si="19"/>
        <v/>
      </c>
      <c r="E277" s="20"/>
      <c r="K277" s="25"/>
      <c r="L277" s="23"/>
      <c r="M277" s="32"/>
    </row>
    <row r="278" spans="1:13" s="1" customFormat="1" x14ac:dyDescent="0.25">
      <c r="A278" s="1" t="str">
        <f t="shared" si="21"/>
        <v>-</v>
      </c>
      <c r="B278" s="77" t="str">
        <f t="shared" si="22"/>
        <v>-</v>
      </c>
      <c r="C278" s="17" t="str">
        <f t="shared" si="20"/>
        <v>-</v>
      </c>
      <c r="D278" s="1" t="str">
        <f t="shared" si="19"/>
        <v/>
      </c>
      <c r="E278" s="20"/>
      <c r="K278" s="25"/>
      <c r="L278" s="23"/>
      <c r="M278" s="32"/>
    </row>
    <row r="279" spans="1:13" s="1" customFormat="1" x14ac:dyDescent="0.25">
      <c r="A279" s="1" t="str">
        <f t="shared" si="21"/>
        <v>-</v>
      </c>
      <c r="B279" s="77" t="str">
        <f t="shared" si="22"/>
        <v>-</v>
      </c>
      <c r="C279" s="17" t="str">
        <f t="shared" si="20"/>
        <v>-</v>
      </c>
      <c r="D279" s="1" t="str">
        <f t="shared" si="19"/>
        <v/>
      </c>
      <c r="E279" s="20"/>
      <c r="K279" s="25"/>
      <c r="L279" s="23"/>
      <c r="M279" s="32"/>
    </row>
    <row r="280" spans="1:13" s="1" customFormat="1" x14ac:dyDescent="0.25">
      <c r="A280" s="1" t="str">
        <f t="shared" si="21"/>
        <v>-</v>
      </c>
      <c r="B280" s="77" t="str">
        <f t="shared" si="22"/>
        <v>-</v>
      </c>
      <c r="C280" s="17" t="str">
        <f t="shared" si="20"/>
        <v>-</v>
      </c>
      <c r="D280" s="1" t="str">
        <f t="shared" si="19"/>
        <v/>
      </c>
      <c r="E280" s="20"/>
      <c r="K280" s="25"/>
      <c r="L280" s="23"/>
      <c r="M280" s="32"/>
    </row>
    <row r="281" spans="1:13" s="1" customFormat="1" x14ac:dyDescent="0.25">
      <c r="A281" s="1" t="str">
        <f t="shared" si="21"/>
        <v>-</v>
      </c>
      <c r="B281" s="77" t="str">
        <f t="shared" si="22"/>
        <v>-</v>
      </c>
      <c r="C281" s="17" t="str">
        <f t="shared" si="20"/>
        <v>-</v>
      </c>
      <c r="D281" s="1" t="str">
        <f t="shared" si="19"/>
        <v/>
      </c>
      <c r="E281" s="20"/>
      <c r="K281" s="25"/>
      <c r="L281" s="23"/>
      <c r="M281" s="32"/>
    </row>
    <row r="282" spans="1:13" s="1" customFormat="1" x14ac:dyDescent="0.25">
      <c r="A282" s="1" t="str">
        <f t="shared" si="21"/>
        <v>-</v>
      </c>
      <c r="B282" s="77" t="str">
        <f t="shared" si="22"/>
        <v>-</v>
      </c>
      <c r="C282" s="17" t="str">
        <f t="shared" si="20"/>
        <v>-</v>
      </c>
      <c r="D282" s="1" t="str">
        <f t="shared" si="19"/>
        <v/>
      </c>
      <c r="E282" s="20"/>
      <c r="K282" s="25"/>
      <c r="L282" s="23"/>
      <c r="M282" s="32"/>
    </row>
    <row r="283" spans="1:13" s="1" customFormat="1" x14ac:dyDescent="0.25">
      <c r="A283" s="1" t="str">
        <f t="shared" si="21"/>
        <v>-</v>
      </c>
      <c r="B283" s="77" t="str">
        <f t="shared" si="22"/>
        <v>-</v>
      </c>
      <c r="C283" s="17" t="str">
        <f t="shared" si="20"/>
        <v>-</v>
      </c>
      <c r="D283" s="1" t="str">
        <f t="shared" si="19"/>
        <v/>
      </c>
      <c r="E283" s="20"/>
      <c r="K283" s="25"/>
      <c r="L283" s="23"/>
      <c r="M283" s="32"/>
    </row>
    <row r="284" spans="1:13" s="1" customFormat="1" x14ac:dyDescent="0.25">
      <c r="A284" s="1" t="str">
        <f t="shared" si="21"/>
        <v>-</v>
      </c>
      <c r="B284" s="77" t="str">
        <f t="shared" si="22"/>
        <v>-</v>
      </c>
      <c r="C284" s="17" t="str">
        <f t="shared" si="20"/>
        <v>-</v>
      </c>
      <c r="D284" s="1" t="str">
        <f t="shared" si="19"/>
        <v/>
      </c>
      <c r="E284" s="20"/>
      <c r="K284" s="25"/>
      <c r="L284" s="23"/>
      <c r="M284" s="32"/>
    </row>
    <row r="285" spans="1:13" s="1" customFormat="1" x14ac:dyDescent="0.25">
      <c r="A285" s="1" t="str">
        <f t="shared" si="21"/>
        <v>-</v>
      </c>
      <c r="B285" s="77" t="str">
        <f t="shared" si="22"/>
        <v>-</v>
      </c>
      <c r="C285" s="17" t="str">
        <f t="shared" si="20"/>
        <v>-</v>
      </c>
      <c r="D285" s="1" t="str">
        <f t="shared" si="19"/>
        <v/>
      </c>
      <c r="E285" s="20"/>
      <c r="K285" s="25"/>
      <c r="L285" s="23"/>
      <c r="M285" s="32"/>
    </row>
    <row r="286" spans="1:13" s="1" customFormat="1" x14ac:dyDescent="0.25">
      <c r="A286" s="1" t="str">
        <f t="shared" si="21"/>
        <v>-</v>
      </c>
      <c r="B286" s="77" t="str">
        <f t="shared" si="22"/>
        <v>-</v>
      </c>
      <c r="C286" s="17" t="str">
        <f t="shared" si="20"/>
        <v>-</v>
      </c>
      <c r="D286" s="1" t="str">
        <f t="shared" si="19"/>
        <v/>
      </c>
      <c r="E286" s="20"/>
      <c r="K286" s="25"/>
      <c r="L286" s="23"/>
      <c r="M286" s="32"/>
    </row>
    <row r="287" spans="1:13" s="1" customFormat="1" x14ac:dyDescent="0.25">
      <c r="B287" s="77"/>
      <c r="D287" s="1" t="str">
        <f t="shared" si="19"/>
        <v/>
      </c>
      <c r="E287" s="20"/>
      <c r="K287" s="25"/>
      <c r="L287" s="23"/>
      <c r="M287" s="32"/>
    </row>
    <row r="288" spans="1:13" s="1" customFormat="1" x14ac:dyDescent="0.25">
      <c r="B288" s="77"/>
      <c r="D288" s="1" t="str">
        <f t="shared" si="19"/>
        <v/>
      </c>
      <c r="E288" s="20"/>
      <c r="K288" s="25"/>
      <c r="L288" s="23"/>
      <c r="M288" s="32"/>
    </row>
    <row r="289" spans="2:13" s="1" customFormat="1" x14ac:dyDescent="0.25">
      <c r="B289" s="77"/>
      <c r="D289" s="1" t="str">
        <f t="shared" si="19"/>
        <v/>
      </c>
      <c r="E289" s="20"/>
      <c r="K289" s="25"/>
      <c r="L289" s="23"/>
      <c r="M289" s="32"/>
    </row>
    <row r="290" spans="2:13" s="1" customFormat="1" x14ac:dyDescent="0.25">
      <c r="B290" s="77"/>
      <c r="D290" s="1" t="str">
        <f t="shared" si="19"/>
        <v/>
      </c>
      <c r="E290" s="20"/>
      <c r="K290" s="25"/>
      <c r="L290" s="23"/>
      <c r="M290" s="32"/>
    </row>
    <row r="291" spans="2:13" s="1" customFormat="1" x14ac:dyDescent="0.25">
      <c r="B291" s="77"/>
      <c r="D291" s="1" t="str">
        <f t="shared" si="19"/>
        <v/>
      </c>
      <c r="E291" s="20"/>
      <c r="K291" s="25"/>
      <c r="L291" s="23"/>
      <c r="M291" s="32"/>
    </row>
    <row r="292" spans="2:13" s="1" customFormat="1" x14ac:dyDescent="0.25">
      <c r="B292" s="77"/>
      <c r="D292" s="1" t="str">
        <f t="shared" si="19"/>
        <v/>
      </c>
      <c r="E292" s="20"/>
      <c r="K292" s="25"/>
      <c r="L292" s="23"/>
      <c r="M292" s="32"/>
    </row>
    <row r="293" spans="2:13" s="1" customFormat="1" x14ac:dyDescent="0.25">
      <c r="B293" s="77"/>
      <c r="D293" s="1" t="str">
        <f t="shared" si="19"/>
        <v/>
      </c>
      <c r="E293" s="20"/>
      <c r="K293" s="25"/>
      <c r="L293" s="23"/>
      <c r="M293" s="32"/>
    </row>
    <row r="294" spans="2:13" s="1" customFormat="1" x14ac:dyDescent="0.25">
      <c r="B294" s="77"/>
      <c r="D294" s="1" t="str">
        <f t="shared" si="19"/>
        <v/>
      </c>
      <c r="E294" s="20"/>
      <c r="K294" s="25"/>
      <c r="L294" s="23"/>
      <c r="M294" s="32"/>
    </row>
    <row r="295" spans="2:13" s="1" customFormat="1" x14ac:dyDescent="0.25">
      <c r="B295" s="77"/>
      <c r="D295" s="1" t="str">
        <f t="shared" si="19"/>
        <v/>
      </c>
      <c r="E295" s="20"/>
      <c r="K295" s="25"/>
      <c r="L295" s="23"/>
      <c r="M295" s="32"/>
    </row>
    <row r="296" spans="2:13" s="1" customFormat="1" x14ac:dyDescent="0.25">
      <c r="B296" s="77"/>
      <c r="D296" s="1" t="str">
        <f t="shared" si="19"/>
        <v/>
      </c>
      <c r="E296" s="20"/>
      <c r="K296" s="25"/>
      <c r="L296" s="23"/>
      <c r="M296" s="32"/>
    </row>
    <row r="297" spans="2:13" s="1" customFormat="1" x14ac:dyDescent="0.25">
      <c r="B297" s="77"/>
      <c r="D297" s="1" t="str">
        <f t="shared" si="19"/>
        <v/>
      </c>
      <c r="E297" s="20"/>
      <c r="K297" s="25"/>
      <c r="L297" s="23"/>
      <c r="M297" s="32"/>
    </row>
    <row r="298" spans="2:13" s="1" customFormat="1" x14ac:dyDescent="0.25">
      <c r="B298" s="77"/>
      <c r="D298" s="1" t="str">
        <f t="shared" si="19"/>
        <v/>
      </c>
      <c r="E298" s="20"/>
      <c r="K298" s="25"/>
      <c r="L298" s="23"/>
      <c r="M298" s="32"/>
    </row>
    <row r="299" spans="2:13" s="1" customFormat="1" x14ac:dyDescent="0.25">
      <c r="B299" s="77"/>
      <c r="D299" s="1" t="str">
        <f t="shared" si="19"/>
        <v/>
      </c>
      <c r="E299" s="20"/>
      <c r="K299" s="25"/>
      <c r="L299" s="23"/>
      <c r="M299" s="32"/>
    </row>
    <row r="300" spans="2:13" s="1" customFormat="1" x14ac:dyDescent="0.25">
      <c r="B300" s="77"/>
      <c r="D300" s="1" t="str">
        <f t="shared" si="19"/>
        <v/>
      </c>
      <c r="E300" s="20"/>
      <c r="K300" s="25"/>
      <c r="L300" s="23"/>
      <c r="M300" s="32"/>
    </row>
    <row r="301" spans="2:13" s="1" customFormat="1" x14ac:dyDescent="0.25">
      <c r="B301" s="77"/>
      <c r="D301" s="1" t="str">
        <f t="shared" si="19"/>
        <v/>
      </c>
      <c r="E301" s="20"/>
      <c r="K301" s="25"/>
      <c r="L301" s="23"/>
      <c r="M301" s="32"/>
    </row>
    <row r="302" spans="2:13" s="1" customFormat="1" x14ac:dyDescent="0.25">
      <c r="B302" s="77"/>
      <c r="D302" s="1" t="str">
        <f t="shared" si="19"/>
        <v/>
      </c>
      <c r="E302" s="20"/>
      <c r="K302" s="25"/>
      <c r="L302" s="23"/>
      <c r="M302" s="32"/>
    </row>
    <row r="303" spans="2:13" s="1" customFormat="1" x14ac:dyDescent="0.25">
      <c r="B303" s="77"/>
      <c r="D303" s="1" t="str">
        <f t="shared" si="19"/>
        <v/>
      </c>
      <c r="E303" s="20"/>
      <c r="K303" s="25"/>
      <c r="L303" s="23"/>
      <c r="M303" s="32"/>
    </row>
    <row r="304" spans="2:13" s="1" customFormat="1" x14ac:dyDescent="0.25">
      <c r="B304" s="77"/>
      <c r="D304" s="1" t="str">
        <f t="shared" si="19"/>
        <v/>
      </c>
      <c r="E304" s="20"/>
      <c r="K304" s="25"/>
      <c r="L304" s="23"/>
      <c r="M304" s="32"/>
    </row>
    <row r="305" spans="2:13" s="1" customFormat="1" x14ac:dyDescent="0.25">
      <c r="B305" s="77"/>
      <c r="D305" s="1" t="str">
        <f t="shared" si="19"/>
        <v/>
      </c>
      <c r="E305" s="20"/>
      <c r="K305" s="25"/>
      <c r="L305" s="23"/>
      <c r="M305" s="32"/>
    </row>
    <row r="306" spans="2:13" s="1" customFormat="1" x14ac:dyDescent="0.25">
      <c r="B306" s="77"/>
      <c r="D306" s="1" t="str">
        <f t="shared" si="19"/>
        <v/>
      </c>
      <c r="E306" s="20"/>
      <c r="K306" s="25"/>
      <c r="L306" s="23"/>
      <c r="M306" s="32"/>
    </row>
    <row r="307" spans="2:13" s="1" customFormat="1" x14ac:dyDescent="0.25">
      <c r="B307" s="77"/>
      <c r="D307" s="1" t="str">
        <f t="shared" si="19"/>
        <v/>
      </c>
      <c r="E307" s="20"/>
      <c r="K307" s="25"/>
      <c r="L307" s="23"/>
      <c r="M307" s="32"/>
    </row>
    <row r="308" spans="2:13" s="1" customFormat="1" x14ac:dyDescent="0.25">
      <c r="B308" s="77"/>
      <c r="D308" s="1" t="str">
        <f t="shared" si="19"/>
        <v/>
      </c>
      <c r="E308" s="20"/>
      <c r="K308" s="25"/>
      <c r="L308" s="23"/>
      <c r="M308" s="32"/>
    </row>
    <row r="309" spans="2:13" s="1" customFormat="1" x14ac:dyDescent="0.25">
      <c r="B309" s="77"/>
      <c r="D309" s="1" t="str">
        <f t="shared" si="19"/>
        <v/>
      </c>
      <c r="E309" s="20"/>
      <c r="K309" s="25"/>
      <c r="L309" s="23"/>
      <c r="M309" s="32"/>
    </row>
    <row r="310" spans="2:13" s="1" customFormat="1" x14ac:dyDescent="0.25">
      <c r="B310" s="77"/>
      <c r="D310" s="1" t="str">
        <f t="shared" si="19"/>
        <v/>
      </c>
      <c r="E310" s="20"/>
      <c r="K310" s="25"/>
      <c r="L310" s="23"/>
      <c r="M310" s="32"/>
    </row>
    <row r="311" spans="2:13" s="1" customFormat="1" x14ac:dyDescent="0.25">
      <c r="B311" s="77"/>
      <c r="D311" s="1" t="str">
        <f t="shared" si="19"/>
        <v/>
      </c>
      <c r="E311" s="20"/>
      <c r="K311" s="25"/>
      <c r="L311" s="23"/>
      <c r="M311" s="32"/>
    </row>
    <row r="312" spans="2:13" s="1" customFormat="1" x14ac:dyDescent="0.25">
      <c r="B312" s="77"/>
      <c r="D312" s="1" t="str">
        <f t="shared" si="19"/>
        <v/>
      </c>
      <c r="E312" s="20"/>
      <c r="K312" s="25"/>
      <c r="L312" s="23"/>
      <c r="M312" s="32"/>
    </row>
    <row r="313" spans="2:13" s="1" customFormat="1" x14ac:dyDescent="0.25">
      <c r="B313" s="77"/>
      <c r="D313" s="1" t="str">
        <f t="shared" si="19"/>
        <v/>
      </c>
      <c r="E313" s="20"/>
      <c r="K313" s="25"/>
      <c r="L313" s="23"/>
      <c r="M313" s="32"/>
    </row>
    <row r="314" spans="2:13" s="1" customFormat="1" x14ac:dyDescent="0.25">
      <c r="B314" s="77"/>
      <c r="D314" s="1" t="str">
        <f t="shared" si="19"/>
        <v/>
      </c>
      <c r="E314" s="20"/>
      <c r="K314" s="25"/>
      <c r="L314" s="23"/>
      <c r="M314" s="32"/>
    </row>
    <row r="315" spans="2:13" s="1" customFormat="1" x14ac:dyDescent="0.25">
      <c r="B315" s="77"/>
      <c r="D315" s="1" t="str">
        <f t="shared" si="19"/>
        <v/>
      </c>
      <c r="E315" s="20"/>
      <c r="K315" s="25"/>
      <c r="L315" s="23"/>
      <c r="M315" s="32"/>
    </row>
    <row r="316" spans="2:13" s="1" customFormat="1" x14ac:dyDescent="0.25">
      <c r="B316" s="77"/>
      <c r="D316" s="1" t="str">
        <f t="shared" si="19"/>
        <v/>
      </c>
      <c r="E316" s="20"/>
      <c r="K316" s="25"/>
      <c r="L316" s="23"/>
      <c r="M316" s="32"/>
    </row>
    <row r="317" spans="2:13" s="1" customFormat="1" x14ac:dyDescent="0.25">
      <c r="B317" s="77"/>
      <c r="D317" s="1" t="str">
        <f t="shared" si="19"/>
        <v/>
      </c>
      <c r="E317" s="20"/>
      <c r="K317" s="25"/>
      <c r="L317" s="23"/>
      <c r="M317" s="32"/>
    </row>
    <row r="318" spans="2:13" s="1" customFormat="1" x14ac:dyDescent="0.25">
      <c r="B318" s="77"/>
      <c r="D318" s="1" t="str">
        <f t="shared" si="19"/>
        <v/>
      </c>
      <c r="E318" s="20"/>
      <c r="K318" s="25"/>
      <c r="L318" s="23"/>
      <c r="M318" s="32"/>
    </row>
    <row r="319" spans="2:13" s="1" customFormat="1" x14ac:dyDescent="0.25">
      <c r="B319" s="77"/>
      <c r="D319" s="1" t="str">
        <f t="shared" si="19"/>
        <v/>
      </c>
      <c r="E319" s="20"/>
      <c r="K319" s="25"/>
      <c r="L319" s="23"/>
      <c r="M319" s="32"/>
    </row>
    <row r="320" spans="2:13" s="1" customFormat="1" x14ac:dyDescent="0.25">
      <c r="B320" s="77"/>
      <c r="D320" s="1" t="str">
        <f t="shared" si="19"/>
        <v/>
      </c>
      <c r="E320" s="20"/>
      <c r="K320" s="25"/>
      <c r="L320" s="23"/>
      <c r="M320" s="32"/>
    </row>
    <row r="321" spans="2:13" s="1" customFormat="1" x14ac:dyDescent="0.25">
      <c r="B321" s="77"/>
      <c r="D321" s="1" t="str">
        <f t="shared" si="19"/>
        <v/>
      </c>
      <c r="E321" s="20"/>
      <c r="K321" s="25"/>
      <c r="L321" s="23"/>
      <c r="M321" s="32"/>
    </row>
    <row r="322" spans="2:13" s="1" customFormat="1" x14ac:dyDescent="0.25">
      <c r="B322" s="77"/>
      <c r="D322" s="1" t="str">
        <f t="shared" si="19"/>
        <v/>
      </c>
      <c r="E322" s="20"/>
      <c r="K322" s="25"/>
      <c r="L322" s="23"/>
      <c r="M322" s="32"/>
    </row>
    <row r="323" spans="2:13" s="1" customFormat="1" x14ac:dyDescent="0.25">
      <c r="B323" s="77"/>
      <c r="D323" s="1" t="str">
        <f t="shared" si="19"/>
        <v/>
      </c>
      <c r="E323" s="20"/>
      <c r="K323" s="25"/>
      <c r="L323" s="23"/>
      <c r="M323" s="32"/>
    </row>
    <row r="324" spans="2:13" s="1" customFormat="1" x14ac:dyDescent="0.25">
      <c r="B324" s="77"/>
      <c r="D324" s="1" t="str">
        <f t="shared" si="19"/>
        <v/>
      </c>
      <c r="E324" s="20"/>
      <c r="K324" s="25"/>
      <c r="L324" s="23"/>
      <c r="M324" s="32"/>
    </row>
    <row r="325" spans="2:13" s="1" customFormat="1" x14ac:dyDescent="0.25">
      <c r="B325" s="77"/>
      <c r="D325" s="1" t="str">
        <f t="shared" si="19"/>
        <v/>
      </c>
      <c r="E325" s="20"/>
      <c r="K325" s="25"/>
      <c r="L325" s="23"/>
      <c r="M325" s="32"/>
    </row>
    <row r="326" spans="2:13" s="1" customFormat="1" x14ac:dyDescent="0.25">
      <c r="B326" s="77"/>
      <c r="D326" s="1" t="str">
        <f t="shared" si="19"/>
        <v/>
      </c>
      <c r="E326" s="20"/>
      <c r="K326" s="25"/>
      <c r="L326" s="23"/>
      <c r="M326" s="32"/>
    </row>
    <row r="327" spans="2:13" s="1" customFormat="1" x14ac:dyDescent="0.25">
      <c r="B327" s="77"/>
      <c r="D327" s="1" t="str">
        <f t="shared" si="19"/>
        <v/>
      </c>
      <c r="E327" s="20"/>
      <c r="K327" s="25"/>
      <c r="L327" s="23"/>
      <c r="M327" s="32"/>
    </row>
    <row r="328" spans="2:13" s="1" customFormat="1" x14ac:dyDescent="0.25">
      <c r="B328" s="77"/>
      <c r="D328" s="1" t="str">
        <f t="shared" ref="D328:D391" si="23">IF(F328&lt;&gt;"",RIGHT(F328, LEN(F328) - FIND(" - ", F328) - 2),"")</f>
        <v/>
      </c>
      <c r="E328" s="20"/>
      <c r="K328" s="25"/>
      <c r="L328" s="23"/>
      <c r="M328" s="32"/>
    </row>
    <row r="329" spans="2:13" s="1" customFormat="1" x14ac:dyDescent="0.25">
      <c r="B329" s="77"/>
      <c r="D329" s="1" t="str">
        <f t="shared" si="23"/>
        <v/>
      </c>
      <c r="E329" s="20"/>
      <c r="K329" s="25"/>
      <c r="L329" s="23"/>
      <c r="M329" s="32"/>
    </row>
    <row r="330" spans="2:13" s="1" customFormat="1" x14ac:dyDescent="0.25">
      <c r="B330" s="77"/>
      <c r="D330" s="1" t="str">
        <f t="shared" si="23"/>
        <v/>
      </c>
      <c r="E330" s="20"/>
      <c r="K330" s="25"/>
      <c r="L330" s="23"/>
      <c r="M330" s="32"/>
    </row>
    <row r="331" spans="2:13" s="1" customFormat="1" x14ac:dyDescent="0.25">
      <c r="B331" s="77"/>
      <c r="D331" s="1" t="str">
        <f t="shared" si="23"/>
        <v/>
      </c>
      <c r="E331" s="20"/>
      <c r="K331" s="25"/>
      <c r="L331" s="23"/>
      <c r="M331" s="32"/>
    </row>
    <row r="332" spans="2:13" s="1" customFormat="1" x14ac:dyDescent="0.25">
      <c r="B332" s="77"/>
      <c r="D332" s="1" t="str">
        <f t="shared" si="23"/>
        <v/>
      </c>
      <c r="E332" s="20"/>
      <c r="K332" s="25"/>
      <c r="L332" s="23"/>
      <c r="M332" s="32"/>
    </row>
    <row r="333" spans="2:13" s="1" customFormat="1" x14ac:dyDescent="0.25">
      <c r="B333" s="77"/>
      <c r="D333" s="1" t="str">
        <f t="shared" si="23"/>
        <v/>
      </c>
      <c r="E333" s="20"/>
      <c r="K333" s="25"/>
      <c r="L333" s="23"/>
      <c r="M333" s="32"/>
    </row>
    <row r="334" spans="2:13" s="1" customFormat="1" x14ac:dyDescent="0.25">
      <c r="B334" s="77"/>
      <c r="D334" s="1" t="str">
        <f t="shared" si="23"/>
        <v/>
      </c>
      <c r="E334" s="20"/>
      <c r="K334" s="25"/>
      <c r="L334" s="23"/>
      <c r="M334" s="32"/>
    </row>
    <row r="335" spans="2:13" s="1" customFormat="1" x14ac:dyDescent="0.25">
      <c r="B335" s="77"/>
      <c r="D335" s="1" t="str">
        <f t="shared" si="23"/>
        <v/>
      </c>
      <c r="E335" s="20"/>
      <c r="K335" s="25"/>
      <c r="L335" s="23"/>
      <c r="M335" s="32"/>
    </row>
    <row r="336" spans="2:13" s="1" customFormat="1" x14ac:dyDescent="0.25">
      <c r="B336" s="77"/>
      <c r="D336" s="1" t="str">
        <f t="shared" si="23"/>
        <v/>
      </c>
      <c r="E336" s="20"/>
      <c r="K336" s="25"/>
      <c r="L336" s="23"/>
      <c r="M336" s="32"/>
    </row>
    <row r="337" spans="2:13" s="1" customFormat="1" x14ac:dyDescent="0.25">
      <c r="B337" s="77"/>
      <c r="D337" s="1" t="str">
        <f t="shared" si="23"/>
        <v/>
      </c>
      <c r="E337" s="20"/>
      <c r="K337" s="25"/>
      <c r="L337" s="23"/>
      <c r="M337" s="32"/>
    </row>
    <row r="338" spans="2:13" s="1" customFormat="1" x14ac:dyDescent="0.25">
      <c r="B338" s="77"/>
      <c r="D338" s="1" t="str">
        <f t="shared" si="23"/>
        <v/>
      </c>
      <c r="E338" s="20"/>
      <c r="K338" s="25"/>
      <c r="L338" s="23"/>
      <c r="M338" s="32"/>
    </row>
    <row r="339" spans="2:13" s="1" customFormat="1" x14ac:dyDescent="0.25">
      <c r="B339" s="77"/>
      <c r="D339" s="1" t="str">
        <f t="shared" si="23"/>
        <v/>
      </c>
      <c r="E339" s="20"/>
      <c r="K339" s="25"/>
      <c r="L339" s="23"/>
      <c r="M339" s="32"/>
    </row>
    <row r="340" spans="2:13" s="1" customFormat="1" x14ac:dyDescent="0.25">
      <c r="B340" s="77"/>
      <c r="D340" s="1" t="str">
        <f t="shared" si="23"/>
        <v/>
      </c>
      <c r="E340" s="20"/>
      <c r="K340" s="25"/>
      <c r="L340" s="23"/>
      <c r="M340" s="32"/>
    </row>
    <row r="341" spans="2:13" s="1" customFormat="1" x14ac:dyDescent="0.25">
      <c r="B341" s="77"/>
      <c r="D341" s="1" t="str">
        <f t="shared" si="23"/>
        <v/>
      </c>
      <c r="E341" s="20"/>
      <c r="K341" s="25"/>
      <c r="L341" s="23"/>
      <c r="M341" s="32"/>
    </row>
    <row r="342" spans="2:13" s="1" customFormat="1" x14ac:dyDescent="0.25">
      <c r="B342" s="77"/>
      <c r="D342" s="1" t="str">
        <f t="shared" si="23"/>
        <v/>
      </c>
      <c r="E342" s="20"/>
      <c r="K342" s="25"/>
      <c r="L342" s="23"/>
      <c r="M342" s="32"/>
    </row>
    <row r="343" spans="2:13" s="1" customFormat="1" x14ac:dyDescent="0.25">
      <c r="B343" s="77"/>
      <c r="D343" s="1" t="str">
        <f t="shared" si="23"/>
        <v/>
      </c>
      <c r="E343" s="20"/>
      <c r="K343" s="25"/>
      <c r="L343" s="23"/>
      <c r="M343" s="32"/>
    </row>
    <row r="344" spans="2:13" s="1" customFormat="1" x14ac:dyDescent="0.25">
      <c r="B344" s="77"/>
      <c r="D344" s="1" t="str">
        <f t="shared" si="23"/>
        <v/>
      </c>
      <c r="E344" s="20"/>
      <c r="K344" s="25"/>
      <c r="L344" s="23"/>
      <c r="M344" s="32"/>
    </row>
    <row r="345" spans="2:13" s="1" customFormat="1" x14ac:dyDescent="0.25">
      <c r="B345" s="77"/>
      <c r="D345" s="1" t="str">
        <f t="shared" si="23"/>
        <v/>
      </c>
      <c r="E345" s="20"/>
      <c r="K345" s="25"/>
      <c r="L345" s="23"/>
      <c r="M345" s="32"/>
    </row>
    <row r="346" spans="2:13" s="1" customFormat="1" x14ac:dyDescent="0.25">
      <c r="B346" s="77"/>
      <c r="D346" s="1" t="str">
        <f t="shared" si="23"/>
        <v/>
      </c>
      <c r="E346" s="20"/>
      <c r="K346" s="25"/>
      <c r="L346" s="23"/>
      <c r="M346" s="32"/>
    </row>
    <row r="347" spans="2:13" s="1" customFormat="1" x14ac:dyDescent="0.25">
      <c r="B347" s="77"/>
      <c r="D347" s="1" t="str">
        <f t="shared" si="23"/>
        <v/>
      </c>
      <c r="E347" s="20"/>
      <c r="K347" s="25"/>
      <c r="L347" s="23"/>
      <c r="M347" s="32"/>
    </row>
    <row r="348" spans="2:13" s="1" customFormat="1" x14ac:dyDescent="0.25">
      <c r="B348" s="77"/>
      <c r="D348" s="1" t="str">
        <f t="shared" si="23"/>
        <v/>
      </c>
      <c r="E348" s="20"/>
      <c r="K348" s="25"/>
      <c r="L348" s="23"/>
      <c r="M348" s="32"/>
    </row>
    <row r="349" spans="2:13" s="1" customFormat="1" x14ac:dyDescent="0.25">
      <c r="B349" s="77"/>
      <c r="D349" s="1" t="str">
        <f t="shared" si="23"/>
        <v/>
      </c>
      <c r="E349" s="20"/>
      <c r="K349" s="25"/>
      <c r="L349" s="23"/>
      <c r="M349" s="32"/>
    </row>
    <row r="350" spans="2:13" s="1" customFormat="1" x14ac:dyDescent="0.25">
      <c r="B350" s="77"/>
      <c r="D350" s="1" t="str">
        <f t="shared" si="23"/>
        <v/>
      </c>
      <c r="E350" s="20"/>
      <c r="K350" s="25"/>
      <c r="L350" s="23"/>
      <c r="M350" s="32"/>
    </row>
    <row r="351" spans="2:13" s="1" customFormat="1" x14ac:dyDescent="0.25">
      <c r="B351" s="77"/>
      <c r="D351" s="1" t="str">
        <f t="shared" si="23"/>
        <v/>
      </c>
      <c r="E351" s="20"/>
      <c r="K351" s="25"/>
      <c r="L351" s="23"/>
      <c r="M351" s="32"/>
    </row>
    <row r="352" spans="2:13" s="1" customFormat="1" x14ac:dyDescent="0.25">
      <c r="B352" s="77"/>
      <c r="D352" s="1" t="str">
        <f t="shared" si="23"/>
        <v/>
      </c>
      <c r="E352" s="20"/>
      <c r="K352" s="25"/>
      <c r="L352" s="23"/>
      <c r="M352" s="32"/>
    </row>
    <row r="353" spans="2:13" s="1" customFormat="1" x14ac:dyDescent="0.25">
      <c r="B353" s="77"/>
      <c r="D353" s="1" t="str">
        <f t="shared" si="23"/>
        <v/>
      </c>
      <c r="E353" s="20"/>
      <c r="K353" s="25"/>
      <c r="L353" s="23"/>
      <c r="M353" s="32"/>
    </row>
    <row r="354" spans="2:13" s="1" customFormat="1" x14ac:dyDescent="0.25">
      <c r="B354" s="77"/>
      <c r="D354" s="1" t="str">
        <f t="shared" si="23"/>
        <v/>
      </c>
      <c r="E354" s="20"/>
      <c r="K354" s="25"/>
      <c r="L354" s="23"/>
      <c r="M354" s="32"/>
    </row>
    <row r="355" spans="2:13" s="1" customFormat="1" x14ac:dyDescent="0.25">
      <c r="B355" s="77"/>
      <c r="D355" s="1" t="str">
        <f t="shared" si="23"/>
        <v/>
      </c>
      <c r="E355" s="20"/>
      <c r="K355" s="25"/>
      <c r="L355" s="23"/>
      <c r="M355" s="32"/>
    </row>
    <row r="356" spans="2:13" s="1" customFormat="1" x14ac:dyDescent="0.25">
      <c r="B356" s="77"/>
      <c r="D356" s="1" t="str">
        <f t="shared" si="23"/>
        <v/>
      </c>
      <c r="E356" s="20"/>
      <c r="K356" s="25"/>
      <c r="L356" s="23"/>
      <c r="M356" s="32"/>
    </row>
    <row r="357" spans="2:13" s="1" customFormat="1" x14ac:dyDescent="0.25">
      <c r="B357" s="77"/>
      <c r="D357" s="1" t="str">
        <f t="shared" si="23"/>
        <v/>
      </c>
      <c r="E357" s="20"/>
      <c r="K357" s="25"/>
      <c r="L357" s="23"/>
      <c r="M357" s="32"/>
    </row>
    <row r="358" spans="2:13" s="1" customFormat="1" x14ac:dyDescent="0.25">
      <c r="B358" s="77"/>
      <c r="D358" s="1" t="str">
        <f t="shared" si="23"/>
        <v/>
      </c>
      <c r="E358" s="20"/>
      <c r="K358" s="25"/>
      <c r="L358" s="23"/>
      <c r="M358" s="32"/>
    </row>
    <row r="359" spans="2:13" s="1" customFormat="1" x14ac:dyDescent="0.25">
      <c r="B359" s="77"/>
      <c r="D359" s="1" t="str">
        <f t="shared" si="23"/>
        <v/>
      </c>
      <c r="E359" s="20"/>
      <c r="K359" s="25"/>
      <c r="L359" s="23"/>
      <c r="M359" s="32"/>
    </row>
    <row r="360" spans="2:13" s="1" customFormat="1" x14ac:dyDescent="0.25">
      <c r="B360" s="77"/>
      <c r="D360" s="1" t="str">
        <f t="shared" si="23"/>
        <v/>
      </c>
      <c r="E360" s="20"/>
      <c r="K360" s="25"/>
      <c r="L360" s="23"/>
      <c r="M360" s="32"/>
    </row>
    <row r="361" spans="2:13" s="1" customFormat="1" x14ac:dyDescent="0.25">
      <c r="B361" s="77"/>
      <c r="D361" s="1" t="str">
        <f t="shared" si="23"/>
        <v/>
      </c>
      <c r="E361" s="20"/>
      <c r="K361" s="25"/>
      <c r="L361" s="23"/>
      <c r="M361" s="32"/>
    </row>
    <row r="362" spans="2:13" s="1" customFormat="1" x14ac:dyDescent="0.25">
      <c r="B362" s="77"/>
      <c r="D362" s="1" t="str">
        <f t="shared" si="23"/>
        <v/>
      </c>
      <c r="E362" s="20"/>
      <c r="K362" s="25"/>
      <c r="L362" s="23"/>
      <c r="M362" s="32"/>
    </row>
    <row r="363" spans="2:13" s="1" customFormat="1" x14ac:dyDescent="0.25">
      <c r="B363" s="77"/>
      <c r="D363" s="1" t="str">
        <f t="shared" si="23"/>
        <v/>
      </c>
      <c r="E363" s="20"/>
      <c r="K363" s="25"/>
      <c r="L363" s="23"/>
      <c r="M363" s="32"/>
    </row>
    <row r="364" spans="2:13" s="1" customFormat="1" x14ac:dyDescent="0.25">
      <c r="B364" s="77"/>
      <c r="D364" s="1" t="str">
        <f t="shared" si="23"/>
        <v/>
      </c>
      <c r="E364" s="20"/>
      <c r="K364" s="25"/>
      <c r="L364" s="23"/>
      <c r="M364" s="32"/>
    </row>
    <row r="365" spans="2:13" s="1" customFormat="1" x14ac:dyDescent="0.25">
      <c r="B365" s="77"/>
      <c r="D365" s="1" t="str">
        <f t="shared" si="23"/>
        <v/>
      </c>
      <c r="E365" s="20"/>
      <c r="K365" s="25"/>
      <c r="L365" s="23"/>
      <c r="M365" s="32"/>
    </row>
    <row r="366" spans="2:13" s="1" customFormat="1" x14ac:dyDescent="0.25">
      <c r="B366" s="77"/>
      <c r="D366" s="1" t="str">
        <f t="shared" si="23"/>
        <v/>
      </c>
      <c r="E366" s="20"/>
      <c r="K366" s="25"/>
      <c r="L366" s="23"/>
      <c r="M366" s="32"/>
    </row>
    <row r="367" spans="2:13" s="1" customFormat="1" x14ac:dyDescent="0.25">
      <c r="B367" s="77"/>
      <c r="D367" s="1" t="str">
        <f t="shared" si="23"/>
        <v/>
      </c>
      <c r="E367" s="20"/>
      <c r="K367" s="25"/>
      <c r="L367" s="23"/>
      <c r="M367" s="32"/>
    </row>
    <row r="368" spans="2:13" s="1" customFormat="1" x14ac:dyDescent="0.25">
      <c r="B368" s="77"/>
      <c r="D368" s="1" t="str">
        <f t="shared" si="23"/>
        <v/>
      </c>
      <c r="E368" s="20"/>
      <c r="K368" s="25"/>
      <c r="L368" s="23"/>
      <c r="M368" s="32"/>
    </row>
    <row r="369" spans="2:13" s="1" customFormat="1" x14ac:dyDescent="0.25">
      <c r="B369" s="77"/>
      <c r="D369" s="1" t="str">
        <f t="shared" si="23"/>
        <v/>
      </c>
      <c r="E369" s="20"/>
      <c r="K369" s="25"/>
      <c r="L369" s="23"/>
      <c r="M369" s="32"/>
    </row>
    <row r="370" spans="2:13" s="1" customFormat="1" x14ac:dyDescent="0.25">
      <c r="B370" s="77"/>
      <c r="D370" s="1" t="str">
        <f t="shared" si="23"/>
        <v/>
      </c>
      <c r="E370" s="20"/>
      <c r="K370" s="25"/>
      <c r="L370" s="23"/>
      <c r="M370" s="32"/>
    </row>
    <row r="371" spans="2:13" s="1" customFormat="1" x14ac:dyDescent="0.25">
      <c r="B371" s="77"/>
      <c r="D371" s="1" t="str">
        <f t="shared" si="23"/>
        <v/>
      </c>
      <c r="E371" s="20"/>
      <c r="K371" s="25"/>
      <c r="L371" s="23"/>
      <c r="M371" s="32"/>
    </row>
    <row r="372" spans="2:13" s="1" customFormat="1" x14ac:dyDescent="0.25">
      <c r="B372" s="77"/>
      <c r="D372" s="1" t="str">
        <f t="shared" si="23"/>
        <v/>
      </c>
      <c r="E372" s="20"/>
      <c r="K372" s="25"/>
      <c r="L372" s="23"/>
      <c r="M372" s="32"/>
    </row>
    <row r="373" spans="2:13" s="1" customFormat="1" x14ac:dyDescent="0.25">
      <c r="B373" s="77"/>
      <c r="D373" s="1" t="str">
        <f t="shared" si="23"/>
        <v/>
      </c>
      <c r="E373" s="20"/>
      <c r="K373" s="25"/>
      <c r="L373" s="23"/>
      <c r="M373" s="32"/>
    </row>
    <row r="374" spans="2:13" s="1" customFormat="1" x14ac:dyDescent="0.25">
      <c r="B374" s="77"/>
      <c r="D374" s="1" t="str">
        <f t="shared" si="23"/>
        <v/>
      </c>
      <c r="E374" s="20"/>
      <c r="K374" s="25"/>
      <c r="L374" s="23"/>
      <c r="M374" s="32"/>
    </row>
    <row r="375" spans="2:13" s="1" customFormat="1" x14ac:dyDescent="0.25">
      <c r="B375" s="77"/>
      <c r="D375" s="1" t="str">
        <f t="shared" si="23"/>
        <v/>
      </c>
      <c r="E375" s="20"/>
      <c r="K375" s="25"/>
      <c r="L375" s="23"/>
      <c r="M375" s="32"/>
    </row>
    <row r="376" spans="2:13" s="1" customFormat="1" x14ac:dyDescent="0.25">
      <c r="B376" s="77"/>
      <c r="D376" s="1" t="str">
        <f t="shared" si="23"/>
        <v/>
      </c>
      <c r="E376" s="20"/>
      <c r="K376" s="25"/>
      <c r="L376" s="23"/>
      <c r="M376" s="32"/>
    </row>
    <row r="377" spans="2:13" s="1" customFormat="1" x14ac:dyDescent="0.25">
      <c r="B377" s="77"/>
      <c r="D377" s="1" t="str">
        <f t="shared" si="23"/>
        <v/>
      </c>
      <c r="E377" s="20"/>
      <c r="K377" s="25"/>
      <c r="L377" s="23"/>
      <c r="M377" s="32"/>
    </row>
    <row r="378" spans="2:13" s="1" customFormat="1" x14ac:dyDescent="0.25">
      <c r="B378" s="77"/>
      <c r="D378" s="1" t="str">
        <f t="shared" si="23"/>
        <v/>
      </c>
      <c r="E378" s="20"/>
      <c r="K378" s="25"/>
      <c r="L378" s="23"/>
      <c r="M378" s="32"/>
    </row>
    <row r="379" spans="2:13" s="1" customFormat="1" x14ac:dyDescent="0.25">
      <c r="B379" s="77"/>
      <c r="D379" s="1" t="str">
        <f t="shared" si="23"/>
        <v/>
      </c>
      <c r="E379" s="20"/>
      <c r="K379" s="25"/>
      <c r="L379" s="23"/>
      <c r="M379" s="32"/>
    </row>
    <row r="380" spans="2:13" s="1" customFormat="1" x14ac:dyDescent="0.25">
      <c r="B380" s="77"/>
      <c r="D380" s="1" t="str">
        <f t="shared" si="23"/>
        <v/>
      </c>
      <c r="E380" s="20"/>
      <c r="K380" s="25"/>
      <c r="L380" s="23"/>
      <c r="M380" s="32"/>
    </row>
    <row r="381" spans="2:13" s="1" customFormat="1" x14ac:dyDescent="0.25">
      <c r="B381" s="77"/>
      <c r="D381" s="1" t="str">
        <f t="shared" si="23"/>
        <v/>
      </c>
      <c r="E381" s="20"/>
      <c r="K381" s="25"/>
      <c r="L381" s="23"/>
      <c r="M381" s="32"/>
    </row>
    <row r="382" spans="2:13" s="1" customFormat="1" x14ac:dyDescent="0.25">
      <c r="B382" s="77"/>
      <c r="D382" s="1" t="str">
        <f t="shared" si="23"/>
        <v/>
      </c>
      <c r="E382" s="20"/>
      <c r="K382" s="25"/>
      <c r="L382" s="23"/>
      <c r="M382" s="32"/>
    </row>
    <row r="383" spans="2:13" s="1" customFormat="1" x14ac:dyDescent="0.25">
      <c r="B383" s="77"/>
      <c r="D383" s="1" t="str">
        <f t="shared" si="23"/>
        <v/>
      </c>
      <c r="E383" s="20"/>
      <c r="K383" s="25"/>
      <c r="L383" s="23"/>
      <c r="M383" s="32"/>
    </row>
    <row r="384" spans="2:13" s="1" customFormat="1" x14ac:dyDescent="0.25">
      <c r="B384" s="77"/>
      <c r="D384" s="1" t="str">
        <f t="shared" si="23"/>
        <v/>
      </c>
      <c r="E384" s="20"/>
      <c r="K384" s="25"/>
      <c r="L384" s="23"/>
      <c r="M384" s="32"/>
    </row>
    <row r="385" spans="2:13" s="1" customFormat="1" x14ac:dyDescent="0.25">
      <c r="B385" s="77"/>
      <c r="D385" s="1" t="str">
        <f t="shared" si="23"/>
        <v/>
      </c>
      <c r="E385" s="20"/>
      <c r="K385" s="25"/>
      <c r="L385" s="23"/>
      <c r="M385" s="32"/>
    </row>
    <row r="386" spans="2:13" s="1" customFormat="1" x14ac:dyDescent="0.25">
      <c r="B386" s="77"/>
      <c r="D386" s="1" t="str">
        <f t="shared" si="23"/>
        <v/>
      </c>
      <c r="E386" s="20"/>
      <c r="K386" s="25"/>
      <c r="L386" s="23"/>
      <c r="M386" s="32"/>
    </row>
    <row r="387" spans="2:13" s="1" customFormat="1" x14ac:dyDescent="0.25">
      <c r="B387" s="77"/>
      <c r="D387" s="1" t="str">
        <f t="shared" si="23"/>
        <v/>
      </c>
      <c r="E387" s="20"/>
      <c r="K387" s="25"/>
      <c r="L387" s="23"/>
      <c r="M387" s="32"/>
    </row>
    <row r="388" spans="2:13" s="1" customFormat="1" x14ac:dyDescent="0.25">
      <c r="B388" s="77"/>
      <c r="D388" s="1" t="str">
        <f t="shared" si="23"/>
        <v/>
      </c>
      <c r="E388" s="20"/>
      <c r="K388" s="25"/>
      <c r="L388" s="23"/>
      <c r="M388" s="32"/>
    </row>
    <row r="389" spans="2:13" s="1" customFormat="1" x14ac:dyDescent="0.25">
      <c r="B389" s="77"/>
      <c r="D389" s="1" t="str">
        <f t="shared" si="23"/>
        <v/>
      </c>
      <c r="E389" s="20"/>
      <c r="K389" s="25"/>
      <c r="L389" s="23"/>
      <c r="M389" s="32"/>
    </row>
    <row r="390" spans="2:13" s="1" customFormat="1" x14ac:dyDescent="0.25">
      <c r="B390" s="77"/>
      <c r="D390" s="1" t="str">
        <f t="shared" si="23"/>
        <v/>
      </c>
      <c r="E390" s="20"/>
      <c r="K390" s="25"/>
      <c r="L390" s="23"/>
      <c r="M390" s="32"/>
    </row>
    <row r="391" spans="2:13" s="1" customFormat="1" x14ac:dyDescent="0.25">
      <c r="B391" s="77"/>
      <c r="D391" s="1" t="str">
        <f t="shared" si="23"/>
        <v/>
      </c>
      <c r="E391" s="20"/>
      <c r="K391" s="25"/>
      <c r="L391" s="23"/>
      <c r="M391" s="32"/>
    </row>
    <row r="392" spans="2:13" s="1" customFormat="1" x14ac:dyDescent="0.25">
      <c r="B392" s="77"/>
      <c r="D392" s="1" t="str">
        <f t="shared" ref="D392:D455" si="24">IF(F392&lt;&gt;"",RIGHT(F392, LEN(F392) - FIND(" - ", F392) - 2),"")</f>
        <v/>
      </c>
      <c r="E392" s="20"/>
      <c r="K392" s="25"/>
      <c r="L392" s="23"/>
      <c r="M392" s="32"/>
    </row>
    <row r="393" spans="2:13" s="1" customFormat="1" x14ac:dyDescent="0.25">
      <c r="B393" s="77"/>
      <c r="D393" s="1" t="str">
        <f t="shared" si="24"/>
        <v/>
      </c>
      <c r="E393" s="20"/>
      <c r="K393" s="25"/>
      <c r="L393" s="23"/>
      <c r="M393" s="32"/>
    </row>
    <row r="394" spans="2:13" s="1" customFormat="1" x14ac:dyDescent="0.25">
      <c r="B394" s="77"/>
      <c r="D394" s="1" t="str">
        <f t="shared" si="24"/>
        <v/>
      </c>
      <c r="E394" s="20"/>
      <c r="K394" s="25"/>
      <c r="L394" s="23"/>
      <c r="M394" s="32"/>
    </row>
    <row r="395" spans="2:13" s="1" customFormat="1" x14ac:dyDescent="0.25">
      <c r="B395" s="77"/>
      <c r="D395" s="1" t="str">
        <f t="shared" si="24"/>
        <v/>
      </c>
      <c r="E395" s="20"/>
      <c r="K395" s="25"/>
      <c r="L395" s="23"/>
      <c r="M395" s="32"/>
    </row>
    <row r="396" spans="2:13" s="1" customFormat="1" x14ac:dyDescent="0.25">
      <c r="B396" s="77"/>
      <c r="D396" s="1" t="str">
        <f t="shared" si="24"/>
        <v/>
      </c>
      <c r="E396" s="20"/>
      <c r="K396" s="25"/>
      <c r="L396" s="23"/>
      <c r="M396" s="32"/>
    </row>
    <row r="397" spans="2:13" s="1" customFormat="1" x14ac:dyDescent="0.25">
      <c r="B397" s="77"/>
      <c r="D397" s="1" t="str">
        <f t="shared" si="24"/>
        <v/>
      </c>
      <c r="E397" s="20"/>
      <c r="K397" s="25"/>
      <c r="L397" s="23"/>
      <c r="M397" s="32"/>
    </row>
    <row r="398" spans="2:13" s="1" customFormat="1" x14ac:dyDescent="0.25">
      <c r="B398" s="77"/>
      <c r="D398" s="1" t="str">
        <f t="shared" si="24"/>
        <v/>
      </c>
      <c r="E398" s="20"/>
      <c r="K398" s="25"/>
      <c r="L398" s="23"/>
      <c r="M398" s="32"/>
    </row>
    <row r="399" spans="2:13" s="1" customFormat="1" x14ac:dyDescent="0.25">
      <c r="B399" s="77"/>
      <c r="D399" s="1" t="str">
        <f t="shared" si="24"/>
        <v/>
      </c>
      <c r="E399" s="20"/>
      <c r="K399" s="25"/>
      <c r="L399" s="23"/>
      <c r="M399" s="32"/>
    </row>
    <row r="400" spans="2:13" s="1" customFormat="1" x14ac:dyDescent="0.25">
      <c r="B400" s="77"/>
      <c r="D400" s="1" t="str">
        <f t="shared" si="24"/>
        <v/>
      </c>
      <c r="E400" s="20"/>
      <c r="K400" s="25"/>
      <c r="L400" s="23"/>
      <c r="M400" s="32"/>
    </row>
    <row r="401" spans="2:13" s="1" customFormat="1" x14ac:dyDescent="0.25">
      <c r="B401" s="77"/>
      <c r="D401" s="1" t="str">
        <f t="shared" si="24"/>
        <v/>
      </c>
      <c r="E401" s="20"/>
      <c r="K401" s="25"/>
      <c r="L401" s="23"/>
      <c r="M401" s="32"/>
    </row>
    <row r="402" spans="2:13" s="1" customFormat="1" x14ac:dyDescent="0.25">
      <c r="B402" s="77"/>
      <c r="D402" s="1" t="str">
        <f t="shared" si="24"/>
        <v/>
      </c>
      <c r="E402" s="20"/>
      <c r="K402" s="25"/>
      <c r="L402" s="23"/>
      <c r="M402" s="32"/>
    </row>
    <row r="403" spans="2:13" s="1" customFormat="1" x14ac:dyDescent="0.25">
      <c r="B403" s="77"/>
      <c r="D403" s="1" t="str">
        <f t="shared" si="24"/>
        <v/>
      </c>
      <c r="E403" s="20"/>
      <c r="K403" s="25"/>
      <c r="L403" s="23"/>
      <c r="M403" s="32"/>
    </row>
    <row r="404" spans="2:13" s="1" customFormat="1" x14ac:dyDescent="0.25">
      <c r="B404" s="77"/>
      <c r="D404" s="1" t="str">
        <f t="shared" si="24"/>
        <v/>
      </c>
      <c r="E404" s="20"/>
      <c r="K404" s="25"/>
      <c r="L404" s="23"/>
      <c r="M404" s="32"/>
    </row>
    <row r="405" spans="2:13" s="1" customFormat="1" x14ac:dyDescent="0.25">
      <c r="B405" s="77"/>
      <c r="D405" s="1" t="str">
        <f t="shared" si="24"/>
        <v/>
      </c>
      <c r="E405" s="20"/>
      <c r="K405" s="25"/>
      <c r="L405" s="23"/>
      <c r="M405" s="32"/>
    </row>
    <row r="406" spans="2:13" s="1" customFormat="1" x14ac:dyDescent="0.25">
      <c r="B406" s="77"/>
      <c r="D406" s="1" t="str">
        <f t="shared" si="24"/>
        <v/>
      </c>
      <c r="E406" s="20"/>
      <c r="K406" s="25"/>
      <c r="L406" s="23"/>
      <c r="M406" s="32"/>
    </row>
    <row r="407" spans="2:13" s="1" customFormat="1" x14ac:dyDescent="0.25">
      <c r="B407" s="77"/>
      <c r="D407" s="1" t="str">
        <f t="shared" si="24"/>
        <v/>
      </c>
      <c r="E407" s="20"/>
      <c r="K407" s="25"/>
      <c r="L407" s="23"/>
      <c r="M407" s="32"/>
    </row>
    <row r="408" spans="2:13" s="1" customFormat="1" x14ac:dyDescent="0.25">
      <c r="B408" s="77"/>
      <c r="D408" s="1" t="str">
        <f t="shared" si="24"/>
        <v/>
      </c>
      <c r="E408" s="20"/>
      <c r="K408" s="25"/>
      <c r="L408" s="23"/>
      <c r="M408" s="32"/>
    </row>
    <row r="409" spans="2:13" s="1" customFormat="1" x14ac:dyDescent="0.25">
      <c r="B409" s="77"/>
      <c r="D409" s="1" t="str">
        <f t="shared" si="24"/>
        <v/>
      </c>
      <c r="E409" s="20"/>
      <c r="K409" s="25"/>
      <c r="L409" s="23"/>
      <c r="M409" s="32"/>
    </row>
    <row r="410" spans="2:13" s="1" customFormat="1" x14ac:dyDescent="0.25">
      <c r="B410" s="77"/>
      <c r="D410" s="1" t="str">
        <f t="shared" si="24"/>
        <v/>
      </c>
      <c r="E410" s="20"/>
      <c r="K410" s="25"/>
      <c r="L410" s="23"/>
      <c r="M410" s="32"/>
    </row>
    <row r="411" spans="2:13" s="1" customFormat="1" x14ac:dyDescent="0.25">
      <c r="B411" s="77"/>
      <c r="D411" s="1" t="str">
        <f t="shared" si="24"/>
        <v/>
      </c>
      <c r="E411" s="20"/>
      <c r="K411" s="25"/>
      <c r="L411" s="23"/>
      <c r="M411" s="32"/>
    </row>
    <row r="412" spans="2:13" s="1" customFormat="1" x14ac:dyDescent="0.25">
      <c r="B412" s="77"/>
      <c r="D412" s="1" t="str">
        <f t="shared" si="24"/>
        <v/>
      </c>
      <c r="E412" s="20"/>
      <c r="K412" s="25"/>
      <c r="L412" s="23"/>
      <c r="M412" s="32"/>
    </row>
    <row r="413" spans="2:13" s="1" customFormat="1" x14ac:dyDescent="0.25">
      <c r="B413" s="77"/>
      <c r="D413" s="1" t="str">
        <f t="shared" si="24"/>
        <v/>
      </c>
      <c r="E413" s="20"/>
      <c r="K413" s="25"/>
      <c r="L413" s="23"/>
      <c r="M413" s="32"/>
    </row>
    <row r="414" spans="2:13" s="1" customFormat="1" x14ac:dyDescent="0.25">
      <c r="B414" s="77"/>
      <c r="D414" s="1" t="str">
        <f t="shared" si="24"/>
        <v/>
      </c>
      <c r="E414" s="20"/>
      <c r="K414" s="25"/>
      <c r="L414" s="23"/>
      <c r="M414" s="32"/>
    </row>
    <row r="415" spans="2:13" s="1" customFormat="1" x14ac:dyDescent="0.25">
      <c r="B415" s="77"/>
      <c r="D415" s="1" t="str">
        <f t="shared" si="24"/>
        <v/>
      </c>
      <c r="E415" s="20"/>
      <c r="K415" s="25"/>
      <c r="L415" s="23"/>
      <c r="M415" s="32"/>
    </row>
    <row r="416" spans="2:13" s="1" customFormat="1" x14ac:dyDescent="0.25">
      <c r="B416" s="77"/>
      <c r="D416" s="1" t="str">
        <f t="shared" si="24"/>
        <v/>
      </c>
      <c r="E416" s="20"/>
      <c r="K416" s="25"/>
      <c r="L416" s="23"/>
      <c r="M416" s="32"/>
    </row>
    <row r="417" spans="2:13" s="1" customFormat="1" x14ac:dyDescent="0.25">
      <c r="B417" s="77"/>
      <c r="D417" s="1" t="str">
        <f t="shared" si="24"/>
        <v/>
      </c>
      <c r="E417" s="20"/>
      <c r="K417" s="25"/>
      <c r="L417" s="23"/>
      <c r="M417" s="32"/>
    </row>
    <row r="418" spans="2:13" s="1" customFormat="1" x14ac:dyDescent="0.25">
      <c r="B418" s="77"/>
      <c r="D418" s="1" t="str">
        <f t="shared" si="24"/>
        <v/>
      </c>
      <c r="E418" s="20"/>
      <c r="K418" s="25"/>
      <c r="L418" s="23"/>
      <c r="M418" s="32"/>
    </row>
    <row r="419" spans="2:13" s="1" customFormat="1" x14ac:dyDescent="0.25">
      <c r="B419" s="77"/>
      <c r="D419" s="1" t="str">
        <f t="shared" si="24"/>
        <v/>
      </c>
      <c r="E419" s="20"/>
      <c r="K419" s="25"/>
      <c r="L419" s="23"/>
      <c r="M419" s="32"/>
    </row>
    <row r="420" spans="2:13" s="1" customFormat="1" x14ac:dyDescent="0.25">
      <c r="B420" s="77"/>
      <c r="D420" s="1" t="str">
        <f t="shared" si="24"/>
        <v/>
      </c>
      <c r="E420" s="20"/>
      <c r="K420" s="25"/>
      <c r="L420" s="23"/>
      <c r="M420" s="32"/>
    </row>
    <row r="421" spans="2:13" s="1" customFormat="1" x14ac:dyDescent="0.25">
      <c r="B421" s="77"/>
      <c r="D421" s="1" t="str">
        <f t="shared" si="24"/>
        <v/>
      </c>
      <c r="E421" s="20"/>
      <c r="K421" s="25"/>
      <c r="L421" s="23"/>
      <c r="M421" s="32"/>
    </row>
    <row r="422" spans="2:13" s="1" customFormat="1" x14ac:dyDescent="0.25">
      <c r="B422" s="77"/>
      <c r="D422" s="1" t="str">
        <f t="shared" si="24"/>
        <v/>
      </c>
      <c r="E422" s="20"/>
      <c r="K422" s="25"/>
      <c r="L422" s="23"/>
      <c r="M422" s="32"/>
    </row>
    <row r="423" spans="2:13" s="1" customFormat="1" x14ac:dyDescent="0.25">
      <c r="B423" s="77"/>
      <c r="D423" s="1" t="str">
        <f t="shared" si="24"/>
        <v/>
      </c>
      <c r="E423" s="20"/>
      <c r="K423" s="25"/>
      <c r="L423" s="23"/>
      <c r="M423" s="32"/>
    </row>
    <row r="424" spans="2:13" s="1" customFormat="1" x14ac:dyDescent="0.25">
      <c r="B424" s="77"/>
      <c r="D424" s="1" t="str">
        <f t="shared" si="24"/>
        <v/>
      </c>
      <c r="E424" s="20"/>
      <c r="K424" s="25"/>
      <c r="L424" s="23"/>
      <c r="M424" s="32"/>
    </row>
    <row r="425" spans="2:13" s="1" customFormat="1" x14ac:dyDescent="0.25">
      <c r="B425" s="77"/>
      <c r="D425" s="1" t="str">
        <f t="shared" si="24"/>
        <v/>
      </c>
      <c r="E425" s="20"/>
      <c r="K425" s="25"/>
      <c r="L425" s="23"/>
      <c r="M425" s="32"/>
    </row>
    <row r="426" spans="2:13" s="1" customFormat="1" x14ac:dyDescent="0.25">
      <c r="B426" s="77"/>
      <c r="D426" s="1" t="str">
        <f t="shared" si="24"/>
        <v/>
      </c>
      <c r="E426" s="20"/>
      <c r="K426" s="25"/>
      <c r="L426" s="23"/>
      <c r="M426" s="32"/>
    </row>
    <row r="427" spans="2:13" s="1" customFormat="1" x14ac:dyDescent="0.25">
      <c r="B427" s="77"/>
      <c r="D427" s="1" t="str">
        <f t="shared" si="24"/>
        <v/>
      </c>
      <c r="E427" s="20"/>
      <c r="K427" s="25"/>
      <c r="L427" s="23"/>
      <c r="M427" s="32"/>
    </row>
    <row r="428" spans="2:13" s="1" customFormat="1" x14ac:dyDescent="0.25">
      <c r="B428" s="77"/>
      <c r="D428" s="1" t="str">
        <f t="shared" si="24"/>
        <v/>
      </c>
      <c r="E428" s="20"/>
      <c r="K428" s="25"/>
      <c r="L428" s="23"/>
      <c r="M428" s="32"/>
    </row>
    <row r="429" spans="2:13" s="1" customFormat="1" x14ac:dyDescent="0.25">
      <c r="B429" s="77"/>
      <c r="D429" s="1" t="str">
        <f t="shared" si="24"/>
        <v/>
      </c>
      <c r="E429" s="20"/>
      <c r="K429" s="25"/>
      <c r="L429" s="23"/>
      <c r="M429" s="32"/>
    </row>
    <row r="430" spans="2:13" s="1" customFormat="1" x14ac:dyDescent="0.25">
      <c r="B430" s="77"/>
      <c r="D430" s="1" t="str">
        <f t="shared" si="24"/>
        <v/>
      </c>
      <c r="E430" s="20"/>
      <c r="K430" s="25"/>
      <c r="L430" s="23"/>
      <c r="M430" s="32"/>
    </row>
    <row r="431" spans="2:13" s="1" customFormat="1" x14ac:dyDescent="0.25">
      <c r="B431" s="77"/>
      <c r="D431" s="1" t="str">
        <f t="shared" si="24"/>
        <v/>
      </c>
      <c r="E431" s="20"/>
      <c r="K431" s="25"/>
      <c r="L431" s="23"/>
      <c r="M431" s="32"/>
    </row>
    <row r="432" spans="2:13" s="1" customFormat="1" x14ac:dyDescent="0.25">
      <c r="B432" s="77"/>
      <c r="D432" s="1" t="str">
        <f t="shared" si="24"/>
        <v/>
      </c>
      <c r="E432" s="20"/>
      <c r="K432" s="25"/>
      <c r="L432" s="23"/>
      <c r="M432" s="32"/>
    </row>
    <row r="433" spans="2:13" s="1" customFormat="1" x14ac:dyDescent="0.25">
      <c r="B433" s="77"/>
      <c r="D433" s="1" t="str">
        <f t="shared" si="24"/>
        <v/>
      </c>
      <c r="E433" s="20"/>
      <c r="K433" s="25"/>
      <c r="L433" s="23"/>
      <c r="M433" s="32"/>
    </row>
    <row r="434" spans="2:13" s="1" customFormat="1" x14ac:dyDescent="0.25">
      <c r="B434" s="77"/>
      <c r="D434" s="1" t="str">
        <f t="shared" si="24"/>
        <v/>
      </c>
      <c r="E434" s="20"/>
      <c r="K434" s="25"/>
      <c r="L434" s="23"/>
      <c r="M434" s="32"/>
    </row>
    <row r="435" spans="2:13" s="1" customFormat="1" x14ac:dyDescent="0.25">
      <c r="B435" s="77"/>
      <c r="D435" s="1" t="str">
        <f t="shared" si="24"/>
        <v/>
      </c>
      <c r="E435" s="20"/>
      <c r="K435" s="25"/>
      <c r="L435" s="23"/>
      <c r="M435" s="32"/>
    </row>
    <row r="436" spans="2:13" s="1" customFormat="1" x14ac:dyDescent="0.25">
      <c r="B436" s="77"/>
      <c r="D436" s="1" t="str">
        <f t="shared" si="24"/>
        <v/>
      </c>
      <c r="E436" s="20"/>
      <c r="K436" s="25"/>
      <c r="L436" s="23"/>
      <c r="M436" s="32"/>
    </row>
    <row r="437" spans="2:13" s="1" customFormat="1" x14ac:dyDescent="0.25">
      <c r="B437" s="77"/>
      <c r="D437" s="1" t="str">
        <f t="shared" si="24"/>
        <v/>
      </c>
      <c r="E437" s="20"/>
      <c r="K437" s="25"/>
      <c r="L437" s="23"/>
      <c r="M437" s="32"/>
    </row>
    <row r="438" spans="2:13" s="1" customFormat="1" x14ac:dyDescent="0.25">
      <c r="B438" s="77"/>
      <c r="D438" s="1" t="str">
        <f t="shared" si="24"/>
        <v/>
      </c>
      <c r="E438" s="20"/>
      <c r="K438" s="25"/>
      <c r="L438" s="23"/>
      <c r="M438" s="32"/>
    </row>
    <row r="439" spans="2:13" s="1" customFormat="1" x14ac:dyDescent="0.25">
      <c r="B439" s="77"/>
      <c r="D439" s="1" t="str">
        <f t="shared" si="24"/>
        <v/>
      </c>
      <c r="E439" s="20"/>
      <c r="K439" s="25"/>
      <c r="L439" s="23"/>
      <c r="M439" s="32"/>
    </row>
    <row r="440" spans="2:13" s="1" customFormat="1" x14ac:dyDescent="0.25">
      <c r="B440" s="77"/>
      <c r="D440" s="1" t="str">
        <f t="shared" si="24"/>
        <v/>
      </c>
      <c r="E440" s="20"/>
      <c r="K440" s="25"/>
      <c r="L440" s="23"/>
      <c r="M440" s="32"/>
    </row>
    <row r="441" spans="2:13" s="1" customFormat="1" x14ac:dyDescent="0.25">
      <c r="B441" s="77"/>
      <c r="D441" s="1" t="str">
        <f t="shared" si="24"/>
        <v/>
      </c>
      <c r="E441" s="20"/>
      <c r="K441" s="25"/>
      <c r="L441" s="23"/>
      <c r="M441" s="32"/>
    </row>
    <row r="442" spans="2:13" s="1" customFormat="1" x14ac:dyDescent="0.25">
      <c r="B442" s="77"/>
      <c r="D442" s="1" t="str">
        <f t="shared" si="24"/>
        <v/>
      </c>
      <c r="E442" s="20"/>
      <c r="K442" s="25"/>
      <c r="L442" s="23"/>
      <c r="M442" s="32"/>
    </row>
    <row r="443" spans="2:13" s="1" customFormat="1" x14ac:dyDescent="0.25">
      <c r="B443" s="77"/>
      <c r="D443" s="1" t="str">
        <f t="shared" si="24"/>
        <v/>
      </c>
      <c r="E443" s="20"/>
      <c r="K443" s="25"/>
      <c r="L443" s="23"/>
      <c r="M443" s="32"/>
    </row>
    <row r="444" spans="2:13" s="1" customFormat="1" x14ac:dyDescent="0.25">
      <c r="B444" s="77"/>
      <c r="D444" s="1" t="str">
        <f t="shared" si="24"/>
        <v/>
      </c>
      <c r="E444" s="20"/>
      <c r="K444" s="25"/>
      <c r="L444" s="23"/>
      <c r="M444" s="32"/>
    </row>
    <row r="445" spans="2:13" s="1" customFormat="1" x14ac:dyDescent="0.25">
      <c r="B445" s="77"/>
      <c r="D445" s="1" t="str">
        <f t="shared" si="24"/>
        <v/>
      </c>
      <c r="E445" s="20"/>
      <c r="K445" s="25"/>
      <c r="L445" s="23"/>
      <c r="M445" s="32"/>
    </row>
    <row r="446" spans="2:13" s="1" customFormat="1" x14ac:dyDescent="0.25">
      <c r="B446" s="77"/>
      <c r="D446" s="1" t="str">
        <f t="shared" si="24"/>
        <v/>
      </c>
      <c r="E446" s="20"/>
      <c r="K446" s="25"/>
      <c r="L446" s="23"/>
      <c r="M446" s="32"/>
    </row>
    <row r="447" spans="2:13" s="1" customFormat="1" x14ac:dyDescent="0.25">
      <c r="B447" s="77"/>
      <c r="D447" s="1" t="str">
        <f t="shared" si="24"/>
        <v/>
      </c>
      <c r="E447" s="20"/>
      <c r="K447" s="25"/>
      <c r="L447" s="23"/>
      <c r="M447" s="32"/>
    </row>
    <row r="448" spans="2:13" s="1" customFormat="1" x14ac:dyDescent="0.25">
      <c r="B448" s="77"/>
      <c r="D448" s="1" t="str">
        <f t="shared" si="24"/>
        <v/>
      </c>
      <c r="E448" s="20"/>
      <c r="K448" s="25"/>
      <c r="L448" s="23"/>
      <c r="M448" s="32"/>
    </row>
    <row r="449" spans="2:13" s="1" customFormat="1" x14ac:dyDescent="0.25">
      <c r="B449" s="77"/>
      <c r="D449" s="1" t="str">
        <f t="shared" si="24"/>
        <v/>
      </c>
      <c r="E449" s="20"/>
      <c r="K449" s="25"/>
      <c r="L449" s="23"/>
      <c r="M449" s="32"/>
    </row>
    <row r="450" spans="2:13" s="1" customFormat="1" x14ac:dyDescent="0.25">
      <c r="B450" s="77"/>
      <c r="D450" s="1" t="str">
        <f t="shared" si="24"/>
        <v/>
      </c>
      <c r="E450" s="20"/>
      <c r="K450" s="25"/>
      <c r="L450" s="23"/>
      <c r="M450" s="32"/>
    </row>
    <row r="451" spans="2:13" s="1" customFormat="1" x14ac:dyDescent="0.25">
      <c r="B451" s="77"/>
      <c r="D451" s="1" t="str">
        <f t="shared" si="24"/>
        <v/>
      </c>
      <c r="E451" s="20"/>
      <c r="K451" s="25"/>
      <c r="L451" s="23"/>
      <c r="M451" s="32"/>
    </row>
    <row r="452" spans="2:13" s="1" customFormat="1" x14ac:dyDescent="0.25">
      <c r="B452" s="77"/>
      <c r="D452" s="1" t="str">
        <f t="shared" si="24"/>
        <v/>
      </c>
      <c r="E452" s="20"/>
      <c r="K452" s="25"/>
      <c r="L452" s="23"/>
      <c r="M452" s="32"/>
    </row>
    <row r="453" spans="2:13" s="1" customFormat="1" x14ac:dyDescent="0.25">
      <c r="B453" s="77"/>
      <c r="D453" s="1" t="str">
        <f t="shared" si="24"/>
        <v/>
      </c>
      <c r="E453" s="20"/>
      <c r="K453" s="25"/>
      <c r="L453" s="23"/>
      <c r="M453" s="32"/>
    </row>
    <row r="454" spans="2:13" s="1" customFormat="1" x14ac:dyDescent="0.25">
      <c r="B454" s="77"/>
      <c r="D454" s="1" t="str">
        <f t="shared" si="24"/>
        <v/>
      </c>
      <c r="E454" s="20"/>
      <c r="K454" s="25"/>
      <c r="L454" s="23"/>
      <c r="M454" s="32"/>
    </row>
    <row r="455" spans="2:13" s="1" customFormat="1" x14ac:dyDescent="0.25">
      <c r="B455" s="77"/>
      <c r="D455" s="1" t="str">
        <f t="shared" si="24"/>
        <v/>
      </c>
      <c r="E455" s="20"/>
      <c r="K455" s="25"/>
      <c r="L455" s="23"/>
      <c r="M455" s="32"/>
    </row>
    <row r="456" spans="2:13" s="1" customFormat="1" x14ac:dyDescent="0.25">
      <c r="B456" s="77"/>
      <c r="D456" s="1" t="str">
        <f t="shared" ref="D456:D519" si="25">IF(F456&lt;&gt;"",RIGHT(F456, LEN(F456) - FIND(" - ", F456) - 2),"")</f>
        <v/>
      </c>
      <c r="E456" s="20"/>
      <c r="K456" s="25"/>
      <c r="L456" s="23"/>
      <c r="M456" s="32"/>
    </row>
    <row r="457" spans="2:13" s="1" customFormat="1" x14ac:dyDescent="0.25">
      <c r="B457" s="77"/>
      <c r="D457" s="1" t="str">
        <f t="shared" si="25"/>
        <v/>
      </c>
      <c r="E457" s="20"/>
      <c r="K457" s="25"/>
      <c r="L457" s="23"/>
      <c r="M457" s="32"/>
    </row>
    <row r="458" spans="2:13" s="1" customFormat="1" x14ac:dyDescent="0.25">
      <c r="B458" s="77"/>
      <c r="D458" s="1" t="str">
        <f t="shared" si="25"/>
        <v/>
      </c>
      <c r="E458" s="20"/>
      <c r="K458" s="25"/>
      <c r="L458" s="23"/>
      <c r="M458" s="32"/>
    </row>
    <row r="459" spans="2:13" s="1" customFormat="1" x14ac:dyDescent="0.25">
      <c r="B459" s="77"/>
      <c r="D459" s="1" t="str">
        <f t="shared" si="25"/>
        <v/>
      </c>
      <c r="E459" s="20"/>
      <c r="K459" s="25"/>
      <c r="L459" s="23"/>
      <c r="M459" s="32"/>
    </row>
    <row r="460" spans="2:13" s="1" customFormat="1" x14ac:dyDescent="0.25">
      <c r="B460" s="77"/>
      <c r="D460" s="1" t="str">
        <f t="shared" si="25"/>
        <v/>
      </c>
      <c r="E460" s="20"/>
      <c r="K460" s="25"/>
      <c r="L460" s="23"/>
      <c r="M460" s="32"/>
    </row>
    <row r="461" spans="2:13" s="1" customFormat="1" x14ac:dyDescent="0.25">
      <c r="B461" s="77"/>
      <c r="D461" s="1" t="str">
        <f t="shared" si="25"/>
        <v/>
      </c>
      <c r="E461" s="20"/>
      <c r="K461" s="25"/>
      <c r="L461" s="23"/>
      <c r="M461" s="32"/>
    </row>
    <row r="462" spans="2:13" s="1" customFormat="1" x14ac:dyDescent="0.25">
      <c r="B462" s="77"/>
      <c r="D462" s="1" t="str">
        <f t="shared" si="25"/>
        <v/>
      </c>
      <c r="E462" s="20"/>
      <c r="K462" s="25"/>
      <c r="L462" s="23"/>
      <c r="M462" s="32"/>
    </row>
    <row r="463" spans="2:13" s="1" customFormat="1" x14ac:dyDescent="0.25">
      <c r="B463" s="77"/>
      <c r="D463" s="1" t="str">
        <f t="shared" si="25"/>
        <v/>
      </c>
      <c r="E463" s="20"/>
      <c r="K463" s="25"/>
      <c r="L463" s="23"/>
      <c r="M463" s="32"/>
    </row>
    <row r="464" spans="2:13" s="1" customFormat="1" x14ac:dyDescent="0.25">
      <c r="B464" s="77"/>
      <c r="D464" s="1" t="str">
        <f t="shared" si="25"/>
        <v/>
      </c>
      <c r="E464" s="20"/>
      <c r="K464" s="25"/>
      <c r="L464" s="23"/>
      <c r="M464" s="32"/>
    </row>
    <row r="465" spans="2:13" s="1" customFormat="1" x14ac:dyDescent="0.25">
      <c r="B465" s="77"/>
      <c r="D465" s="1" t="str">
        <f t="shared" si="25"/>
        <v/>
      </c>
      <c r="E465" s="20"/>
      <c r="K465" s="25"/>
      <c r="L465" s="23"/>
      <c r="M465" s="32"/>
    </row>
    <row r="466" spans="2:13" s="1" customFormat="1" x14ac:dyDescent="0.25">
      <c r="B466" s="77"/>
      <c r="D466" s="1" t="str">
        <f t="shared" si="25"/>
        <v/>
      </c>
      <c r="E466" s="20"/>
      <c r="K466" s="25"/>
      <c r="L466" s="23"/>
      <c r="M466" s="32"/>
    </row>
    <row r="467" spans="2:13" s="1" customFormat="1" x14ac:dyDescent="0.25">
      <c r="B467" s="77"/>
      <c r="D467" s="1" t="str">
        <f t="shared" si="25"/>
        <v/>
      </c>
      <c r="E467" s="20"/>
      <c r="K467" s="25"/>
      <c r="L467" s="23"/>
      <c r="M467" s="32"/>
    </row>
    <row r="468" spans="2:13" s="1" customFormat="1" x14ac:dyDescent="0.25">
      <c r="B468" s="77"/>
      <c r="D468" s="1" t="str">
        <f t="shared" si="25"/>
        <v/>
      </c>
      <c r="E468" s="20"/>
      <c r="K468" s="25"/>
      <c r="L468" s="23"/>
      <c r="M468" s="32"/>
    </row>
    <row r="469" spans="2:13" s="1" customFormat="1" x14ac:dyDescent="0.25">
      <c r="B469" s="77"/>
      <c r="D469" s="1" t="str">
        <f t="shared" si="25"/>
        <v/>
      </c>
      <c r="E469" s="20"/>
      <c r="K469" s="25"/>
      <c r="L469" s="23"/>
      <c r="M469" s="32"/>
    </row>
    <row r="470" spans="2:13" s="1" customFormat="1" x14ac:dyDescent="0.25">
      <c r="B470" s="77"/>
      <c r="D470" s="1" t="str">
        <f t="shared" si="25"/>
        <v/>
      </c>
      <c r="E470" s="20"/>
      <c r="K470" s="25"/>
      <c r="L470" s="23"/>
      <c r="M470" s="32"/>
    </row>
    <row r="471" spans="2:13" s="1" customFormat="1" x14ac:dyDescent="0.25">
      <c r="B471" s="77"/>
      <c r="D471" s="1" t="str">
        <f t="shared" si="25"/>
        <v/>
      </c>
      <c r="E471" s="20"/>
      <c r="K471" s="25"/>
      <c r="L471" s="23"/>
      <c r="M471" s="32"/>
    </row>
    <row r="472" spans="2:13" s="1" customFormat="1" x14ac:dyDescent="0.25">
      <c r="B472" s="77"/>
      <c r="D472" s="1" t="str">
        <f t="shared" si="25"/>
        <v/>
      </c>
      <c r="E472" s="20"/>
      <c r="K472" s="25"/>
      <c r="L472" s="23"/>
      <c r="M472" s="32"/>
    </row>
    <row r="473" spans="2:13" s="1" customFormat="1" x14ac:dyDescent="0.25">
      <c r="B473" s="77"/>
      <c r="D473" s="1" t="str">
        <f t="shared" si="25"/>
        <v/>
      </c>
      <c r="E473" s="20"/>
      <c r="K473" s="25"/>
      <c r="L473" s="23"/>
      <c r="M473" s="32"/>
    </row>
    <row r="474" spans="2:13" s="1" customFormat="1" x14ac:dyDescent="0.25">
      <c r="B474" s="77"/>
      <c r="D474" s="1" t="str">
        <f t="shared" si="25"/>
        <v/>
      </c>
      <c r="E474" s="20"/>
      <c r="K474" s="25"/>
      <c r="L474" s="23"/>
      <c r="M474" s="32"/>
    </row>
    <row r="475" spans="2:13" s="1" customFormat="1" x14ac:dyDescent="0.25">
      <c r="B475" s="77"/>
      <c r="D475" s="1" t="str">
        <f t="shared" si="25"/>
        <v/>
      </c>
      <c r="E475" s="20"/>
      <c r="K475" s="25"/>
      <c r="L475" s="23"/>
      <c r="M475" s="32"/>
    </row>
    <row r="476" spans="2:13" s="1" customFormat="1" x14ac:dyDescent="0.25">
      <c r="B476" s="77"/>
      <c r="D476" s="1" t="str">
        <f t="shared" si="25"/>
        <v/>
      </c>
      <c r="E476" s="20"/>
      <c r="K476" s="25"/>
      <c r="L476" s="23"/>
      <c r="M476" s="32"/>
    </row>
    <row r="477" spans="2:13" s="1" customFormat="1" x14ac:dyDescent="0.25">
      <c r="B477" s="77"/>
      <c r="D477" s="1" t="str">
        <f t="shared" si="25"/>
        <v/>
      </c>
      <c r="E477" s="20"/>
      <c r="K477" s="25"/>
      <c r="L477" s="23"/>
      <c r="M477" s="32"/>
    </row>
    <row r="478" spans="2:13" s="1" customFormat="1" x14ac:dyDescent="0.25">
      <c r="B478" s="77"/>
      <c r="D478" s="1" t="str">
        <f t="shared" si="25"/>
        <v/>
      </c>
      <c r="E478" s="20"/>
      <c r="K478" s="25"/>
      <c r="L478" s="23"/>
      <c r="M478" s="32"/>
    </row>
    <row r="479" spans="2:13" s="1" customFormat="1" x14ac:dyDescent="0.25">
      <c r="B479" s="77"/>
      <c r="D479" s="1" t="str">
        <f t="shared" si="25"/>
        <v/>
      </c>
      <c r="E479" s="20"/>
      <c r="K479" s="25"/>
      <c r="L479" s="23"/>
      <c r="M479" s="32"/>
    </row>
    <row r="480" spans="2:13" s="1" customFormat="1" x14ac:dyDescent="0.25">
      <c r="B480" s="77"/>
      <c r="D480" s="1" t="str">
        <f t="shared" si="25"/>
        <v/>
      </c>
      <c r="E480" s="20"/>
      <c r="K480" s="25"/>
      <c r="L480" s="23"/>
      <c r="M480" s="32"/>
    </row>
    <row r="481" spans="2:13" s="1" customFormat="1" x14ac:dyDescent="0.25">
      <c r="B481" s="77"/>
      <c r="D481" s="1" t="str">
        <f t="shared" si="25"/>
        <v/>
      </c>
      <c r="E481" s="20"/>
      <c r="K481" s="25"/>
      <c r="L481" s="23"/>
      <c r="M481" s="32"/>
    </row>
    <row r="482" spans="2:13" s="1" customFormat="1" x14ac:dyDescent="0.25">
      <c r="B482" s="77"/>
      <c r="D482" s="1" t="str">
        <f t="shared" si="25"/>
        <v/>
      </c>
      <c r="E482" s="20"/>
      <c r="K482" s="25"/>
      <c r="L482" s="23"/>
      <c r="M482" s="32"/>
    </row>
    <row r="483" spans="2:13" s="1" customFormat="1" x14ac:dyDescent="0.25">
      <c r="B483" s="77"/>
      <c r="D483" s="1" t="str">
        <f t="shared" si="25"/>
        <v/>
      </c>
      <c r="E483" s="20"/>
      <c r="K483" s="25"/>
      <c r="L483" s="23"/>
      <c r="M483" s="32"/>
    </row>
    <row r="484" spans="2:13" s="1" customFormat="1" x14ac:dyDescent="0.25">
      <c r="B484" s="77"/>
      <c r="D484" s="1" t="str">
        <f t="shared" si="25"/>
        <v/>
      </c>
      <c r="E484" s="20"/>
      <c r="K484" s="25"/>
      <c r="L484" s="23"/>
      <c r="M484" s="32"/>
    </row>
    <row r="485" spans="2:13" s="1" customFormat="1" x14ac:dyDescent="0.25">
      <c r="B485" s="77"/>
      <c r="D485" s="1" t="str">
        <f t="shared" si="25"/>
        <v/>
      </c>
      <c r="E485" s="20"/>
      <c r="K485" s="25"/>
      <c r="L485" s="23"/>
      <c r="M485" s="32"/>
    </row>
    <row r="486" spans="2:13" s="1" customFormat="1" x14ac:dyDescent="0.25">
      <c r="B486" s="77"/>
      <c r="D486" s="1" t="str">
        <f t="shared" si="25"/>
        <v/>
      </c>
      <c r="E486" s="20"/>
      <c r="K486" s="25"/>
      <c r="L486" s="23"/>
      <c r="M486" s="32"/>
    </row>
    <row r="487" spans="2:13" s="1" customFormat="1" x14ac:dyDescent="0.25">
      <c r="B487" s="77"/>
      <c r="D487" s="1" t="str">
        <f t="shared" si="25"/>
        <v/>
      </c>
      <c r="E487" s="20"/>
      <c r="K487" s="25"/>
      <c r="L487" s="23"/>
      <c r="M487" s="32"/>
    </row>
    <row r="488" spans="2:13" s="1" customFormat="1" x14ac:dyDescent="0.25">
      <c r="B488" s="77"/>
      <c r="D488" s="1" t="str">
        <f t="shared" si="25"/>
        <v/>
      </c>
      <c r="E488" s="20"/>
      <c r="K488" s="25"/>
      <c r="L488" s="23"/>
      <c r="M488" s="32"/>
    </row>
    <row r="489" spans="2:13" s="1" customFormat="1" x14ac:dyDescent="0.25">
      <c r="B489" s="77"/>
      <c r="D489" s="1" t="str">
        <f t="shared" si="25"/>
        <v/>
      </c>
      <c r="E489" s="20"/>
      <c r="K489" s="25"/>
      <c r="L489" s="23"/>
      <c r="M489" s="32"/>
    </row>
    <row r="490" spans="2:13" s="1" customFormat="1" x14ac:dyDescent="0.25">
      <c r="B490" s="77"/>
      <c r="D490" s="1" t="str">
        <f t="shared" si="25"/>
        <v/>
      </c>
      <c r="E490" s="20"/>
      <c r="K490" s="25"/>
      <c r="L490" s="23"/>
      <c r="M490" s="32"/>
    </row>
    <row r="491" spans="2:13" s="1" customFormat="1" x14ac:dyDescent="0.25">
      <c r="B491" s="77"/>
      <c r="D491" s="1" t="str">
        <f t="shared" si="25"/>
        <v/>
      </c>
      <c r="E491" s="20"/>
      <c r="K491" s="25"/>
      <c r="L491" s="23"/>
      <c r="M491" s="32"/>
    </row>
    <row r="492" spans="2:13" s="1" customFormat="1" x14ac:dyDescent="0.25">
      <c r="B492" s="77"/>
      <c r="D492" s="1" t="str">
        <f t="shared" si="25"/>
        <v/>
      </c>
      <c r="E492" s="20"/>
      <c r="K492" s="25"/>
      <c r="L492" s="23"/>
      <c r="M492" s="32"/>
    </row>
    <row r="493" spans="2:13" s="1" customFormat="1" x14ac:dyDescent="0.25">
      <c r="B493" s="77"/>
      <c r="D493" s="1" t="str">
        <f t="shared" si="25"/>
        <v/>
      </c>
      <c r="E493" s="20"/>
      <c r="K493" s="25"/>
      <c r="L493" s="23"/>
      <c r="M493" s="32"/>
    </row>
    <row r="494" spans="2:13" s="1" customFormat="1" x14ac:dyDescent="0.25">
      <c r="B494" s="77"/>
      <c r="D494" s="1" t="str">
        <f t="shared" si="25"/>
        <v/>
      </c>
      <c r="E494" s="20"/>
      <c r="K494" s="25"/>
      <c r="L494" s="23"/>
      <c r="M494" s="32"/>
    </row>
    <row r="495" spans="2:13" s="1" customFormat="1" x14ac:dyDescent="0.25">
      <c r="B495" s="77"/>
      <c r="D495" s="1" t="str">
        <f t="shared" si="25"/>
        <v/>
      </c>
      <c r="E495" s="20"/>
      <c r="K495" s="25"/>
      <c r="L495" s="23"/>
      <c r="M495" s="32"/>
    </row>
    <row r="496" spans="2:13" s="1" customFormat="1" x14ac:dyDescent="0.25">
      <c r="B496" s="77"/>
      <c r="D496" s="1" t="str">
        <f t="shared" si="25"/>
        <v/>
      </c>
      <c r="E496" s="20"/>
      <c r="K496" s="25"/>
      <c r="L496" s="23"/>
      <c r="M496" s="32"/>
    </row>
    <row r="497" spans="2:13" s="1" customFormat="1" x14ac:dyDescent="0.25">
      <c r="B497" s="77"/>
      <c r="D497" s="1" t="str">
        <f t="shared" si="25"/>
        <v/>
      </c>
      <c r="E497" s="20"/>
      <c r="K497" s="25"/>
      <c r="L497" s="23"/>
      <c r="M497" s="32"/>
    </row>
    <row r="498" spans="2:13" s="1" customFormat="1" x14ac:dyDescent="0.25">
      <c r="B498" s="77"/>
      <c r="D498" s="1" t="str">
        <f t="shared" si="25"/>
        <v/>
      </c>
      <c r="E498" s="20"/>
      <c r="K498" s="25"/>
      <c r="L498" s="23"/>
      <c r="M498" s="32"/>
    </row>
    <row r="499" spans="2:13" s="1" customFormat="1" x14ac:dyDescent="0.25">
      <c r="B499" s="77"/>
      <c r="D499" s="1" t="str">
        <f t="shared" si="25"/>
        <v/>
      </c>
      <c r="E499" s="20"/>
      <c r="K499" s="25"/>
      <c r="L499" s="23"/>
      <c r="M499" s="32"/>
    </row>
    <row r="500" spans="2:13" s="1" customFormat="1" x14ac:dyDescent="0.25">
      <c r="B500" s="77"/>
      <c r="D500" s="1" t="str">
        <f t="shared" si="25"/>
        <v/>
      </c>
      <c r="E500" s="20"/>
      <c r="K500" s="25"/>
      <c r="L500" s="23"/>
      <c r="M500" s="32"/>
    </row>
    <row r="501" spans="2:13" s="1" customFormat="1" x14ac:dyDescent="0.25">
      <c r="B501" s="77"/>
      <c r="D501" s="1" t="str">
        <f t="shared" si="25"/>
        <v/>
      </c>
      <c r="E501" s="20"/>
      <c r="K501" s="25"/>
      <c r="L501" s="23"/>
      <c r="M501" s="32"/>
    </row>
    <row r="502" spans="2:13" s="1" customFormat="1" x14ac:dyDescent="0.25">
      <c r="B502" s="77"/>
      <c r="D502" s="1" t="str">
        <f t="shared" si="25"/>
        <v/>
      </c>
      <c r="E502" s="20"/>
      <c r="K502" s="25"/>
      <c r="L502" s="23"/>
      <c r="M502" s="32"/>
    </row>
    <row r="503" spans="2:13" s="1" customFormat="1" x14ac:dyDescent="0.25">
      <c r="B503" s="77"/>
      <c r="D503" s="1" t="str">
        <f t="shared" si="25"/>
        <v/>
      </c>
      <c r="E503" s="20"/>
      <c r="K503" s="25"/>
      <c r="L503" s="23"/>
      <c r="M503" s="32"/>
    </row>
    <row r="504" spans="2:13" s="1" customFormat="1" x14ac:dyDescent="0.25">
      <c r="B504" s="77"/>
      <c r="D504" s="1" t="str">
        <f t="shared" si="25"/>
        <v/>
      </c>
      <c r="E504" s="20"/>
      <c r="K504" s="25"/>
      <c r="L504" s="23"/>
      <c r="M504" s="32"/>
    </row>
    <row r="505" spans="2:13" s="1" customFormat="1" x14ac:dyDescent="0.25">
      <c r="B505" s="77"/>
      <c r="D505" s="1" t="str">
        <f t="shared" si="25"/>
        <v/>
      </c>
      <c r="E505" s="20"/>
      <c r="K505" s="25"/>
      <c r="L505" s="23"/>
      <c r="M505" s="32"/>
    </row>
    <row r="506" spans="2:13" s="1" customFormat="1" x14ac:dyDescent="0.25">
      <c r="B506" s="77"/>
      <c r="D506" s="1" t="str">
        <f t="shared" si="25"/>
        <v/>
      </c>
      <c r="E506" s="20"/>
      <c r="K506" s="25"/>
      <c r="L506" s="23"/>
      <c r="M506" s="32"/>
    </row>
    <row r="507" spans="2:13" s="1" customFormat="1" x14ac:dyDescent="0.25">
      <c r="B507" s="77"/>
      <c r="D507" s="1" t="str">
        <f t="shared" si="25"/>
        <v/>
      </c>
      <c r="E507" s="20"/>
      <c r="K507" s="25"/>
      <c r="L507" s="23"/>
      <c r="M507" s="32"/>
    </row>
    <row r="508" spans="2:13" s="1" customFormat="1" x14ac:dyDescent="0.25">
      <c r="B508" s="77"/>
      <c r="D508" s="1" t="str">
        <f t="shared" si="25"/>
        <v/>
      </c>
      <c r="E508" s="20"/>
      <c r="K508" s="25"/>
      <c r="L508" s="23"/>
      <c r="M508" s="32"/>
    </row>
    <row r="509" spans="2:13" s="1" customFormat="1" x14ac:dyDescent="0.25">
      <c r="B509" s="77"/>
      <c r="D509" s="1" t="str">
        <f t="shared" si="25"/>
        <v/>
      </c>
      <c r="E509" s="20"/>
      <c r="K509" s="25"/>
      <c r="L509" s="23"/>
      <c r="M509" s="32"/>
    </row>
    <row r="510" spans="2:13" s="1" customFormat="1" x14ac:dyDescent="0.25">
      <c r="B510" s="77"/>
      <c r="D510" s="1" t="str">
        <f t="shared" si="25"/>
        <v/>
      </c>
      <c r="E510" s="20"/>
      <c r="K510" s="25"/>
      <c r="L510" s="23"/>
      <c r="M510" s="32"/>
    </row>
    <row r="511" spans="2:13" s="1" customFormat="1" x14ac:dyDescent="0.25">
      <c r="B511" s="77"/>
      <c r="D511" s="1" t="str">
        <f t="shared" si="25"/>
        <v/>
      </c>
      <c r="E511" s="20"/>
      <c r="K511" s="25"/>
      <c r="L511" s="23"/>
      <c r="M511" s="32"/>
    </row>
    <row r="512" spans="2:13" s="1" customFormat="1" x14ac:dyDescent="0.25">
      <c r="B512" s="77"/>
      <c r="D512" s="1" t="str">
        <f t="shared" si="25"/>
        <v/>
      </c>
      <c r="E512" s="20"/>
      <c r="K512" s="25"/>
      <c r="L512" s="23"/>
      <c r="M512" s="32"/>
    </row>
    <row r="513" spans="2:13" s="1" customFormat="1" x14ac:dyDescent="0.25">
      <c r="B513" s="77"/>
      <c r="D513" s="1" t="str">
        <f t="shared" si="25"/>
        <v/>
      </c>
      <c r="E513" s="20"/>
      <c r="K513" s="25"/>
      <c r="L513" s="23"/>
      <c r="M513" s="32"/>
    </row>
    <row r="514" spans="2:13" s="1" customFormat="1" x14ac:dyDescent="0.25">
      <c r="B514" s="77"/>
      <c r="D514" s="1" t="str">
        <f t="shared" si="25"/>
        <v/>
      </c>
      <c r="E514" s="20"/>
      <c r="K514" s="25"/>
      <c r="L514" s="23"/>
      <c r="M514" s="32"/>
    </row>
    <row r="515" spans="2:13" s="1" customFormat="1" x14ac:dyDescent="0.25">
      <c r="B515" s="77"/>
      <c r="D515" s="1" t="str">
        <f t="shared" si="25"/>
        <v/>
      </c>
      <c r="E515" s="20"/>
      <c r="K515" s="25"/>
      <c r="L515" s="23"/>
      <c r="M515" s="32"/>
    </row>
    <row r="516" spans="2:13" s="1" customFormat="1" x14ac:dyDescent="0.25">
      <c r="B516" s="77"/>
      <c r="D516" s="1" t="str">
        <f t="shared" si="25"/>
        <v/>
      </c>
      <c r="E516" s="20"/>
      <c r="K516" s="25"/>
      <c r="L516" s="23"/>
      <c r="M516" s="32"/>
    </row>
    <row r="517" spans="2:13" s="1" customFormat="1" x14ac:dyDescent="0.25">
      <c r="B517" s="77"/>
      <c r="D517" s="1" t="str">
        <f t="shared" si="25"/>
        <v/>
      </c>
      <c r="E517" s="20"/>
      <c r="K517" s="25"/>
      <c r="L517" s="23"/>
      <c r="M517" s="32"/>
    </row>
    <row r="518" spans="2:13" s="1" customFormat="1" x14ac:dyDescent="0.25">
      <c r="B518" s="77"/>
      <c r="D518" s="1" t="str">
        <f t="shared" si="25"/>
        <v/>
      </c>
      <c r="E518" s="20"/>
      <c r="K518" s="25"/>
      <c r="L518" s="23"/>
      <c r="M518" s="32"/>
    </row>
    <row r="519" spans="2:13" s="1" customFormat="1" x14ac:dyDescent="0.25">
      <c r="B519" s="77"/>
      <c r="D519" s="1" t="str">
        <f t="shared" si="25"/>
        <v/>
      </c>
      <c r="E519" s="20"/>
      <c r="K519" s="25"/>
      <c r="L519" s="23"/>
      <c r="M519" s="32"/>
    </row>
    <row r="520" spans="2:13" s="1" customFormat="1" x14ac:dyDescent="0.25">
      <c r="B520" s="77"/>
      <c r="D520" s="1" t="str">
        <f t="shared" ref="D520:D583" si="26">IF(F520&lt;&gt;"",RIGHT(F520, LEN(F520) - FIND(" - ", F520) - 2),"")</f>
        <v/>
      </c>
      <c r="E520" s="20"/>
      <c r="K520" s="25"/>
      <c r="L520" s="23"/>
      <c r="M520" s="32"/>
    </row>
    <row r="521" spans="2:13" s="1" customFormat="1" x14ac:dyDescent="0.25">
      <c r="B521" s="77"/>
      <c r="D521" s="1" t="str">
        <f t="shared" si="26"/>
        <v/>
      </c>
      <c r="E521" s="20"/>
      <c r="K521" s="25"/>
      <c r="L521" s="23"/>
      <c r="M521" s="32"/>
    </row>
    <row r="522" spans="2:13" s="1" customFormat="1" x14ac:dyDescent="0.25">
      <c r="B522" s="77"/>
      <c r="D522" s="1" t="str">
        <f t="shared" si="26"/>
        <v/>
      </c>
      <c r="E522" s="20"/>
      <c r="K522" s="25"/>
      <c r="L522" s="23"/>
      <c r="M522" s="32"/>
    </row>
    <row r="523" spans="2:13" s="1" customFormat="1" x14ac:dyDescent="0.25">
      <c r="B523" s="77"/>
      <c r="D523" s="1" t="str">
        <f t="shared" si="26"/>
        <v/>
      </c>
      <c r="E523" s="20"/>
      <c r="K523" s="25"/>
      <c r="L523" s="23"/>
      <c r="M523" s="32"/>
    </row>
    <row r="524" spans="2:13" s="1" customFormat="1" x14ac:dyDescent="0.25">
      <c r="B524" s="77"/>
      <c r="D524" s="1" t="str">
        <f t="shared" si="26"/>
        <v/>
      </c>
      <c r="E524" s="20"/>
      <c r="K524" s="25"/>
      <c r="L524" s="23"/>
      <c r="M524" s="32"/>
    </row>
    <row r="525" spans="2:13" s="1" customFormat="1" x14ac:dyDescent="0.25">
      <c r="B525" s="77"/>
      <c r="D525" s="1" t="str">
        <f t="shared" si="26"/>
        <v/>
      </c>
      <c r="E525" s="20"/>
      <c r="K525" s="25"/>
      <c r="L525" s="23"/>
      <c r="M525" s="32"/>
    </row>
    <row r="526" spans="2:13" s="1" customFormat="1" x14ac:dyDescent="0.25">
      <c r="B526" s="77"/>
      <c r="D526" s="1" t="str">
        <f t="shared" si="26"/>
        <v/>
      </c>
      <c r="E526" s="20"/>
      <c r="K526" s="25"/>
      <c r="L526" s="23"/>
      <c r="M526" s="32"/>
    </row>
    <row r="527" spans="2:13" s="1" customFormat="1" x14ac:dyDescent="0.25">
      <c r="B527" s="77"/>
      <c r="D527" s="1" t="str">
        <f t="shared" si="26"/>
        <v/>
      </c>
      <c r="E527" s="20"/>
      <c r="K527" s="25"/>
      <c r="L527" s="23"/>
      <c r="M527" s="32"/>
    </row>
    <row r="528" spans="2:13" s="1" customFormat="1" x14ac:dyDescent="0.25">
      <c r="B528" s="77"/>
      <c r="D528" s="1" t="str">
        <f t="shared" si="26"/>
        <v/>
      </c>
      <c r="E528" s="20"/>
      <c r="K528" s="25"/>
      <c r="L528" s="23"/>
      <c r="M528" s="32"/>
    </row>
    <row r="529" spans="2:13" s="1" customFormat="1" x14ac:dyDescent="0.25">
      <c r="B529" s="77"/>
      <c r="D529" s="1" t="str">
        <f t="shared" si="26"/>
        <v/>
      </c>
      <c r="E529" s="20"/>
      <c r="K529" s="25"/>
      <c r="L529" s="23"/>
      <c r="M529" s="32"/>
    </row>
    <row r="530" spans="2:13" s="1" customFormat="1" x14ac:dyDescent="0.25">
      <c r="B530" s="77"/>
      <c r="D530" s="1" t="str">
        <f t="shared" si="26"/>
        <v/>
      </c>
      <c r="E530" s="20"/>
      <c r="K530" s="25"/>
      <c r="L530" s="23"/>
      <c r="M530" s="32"/>
    </row>
    <row r="531" spans="2:13" s="1" customFormat="1" x14ac:dyDescent="0.25">
      <c r="B531" s="77"/>
      <c r="D531" s="1" t="str">
        <f t="shared" si="26"/>
        <v/>
      </c>
      <c r="E531" s="20"/>
      <c r="K531" s="25"/>
      <c r="L531" s="23"/>
      <c r="M531" s="32"/>
    </row>
    <row r="532" spans="2:13" s="1" customFormat="1" x14ac:dyDescent="0.25">
      <c r="B532" s="77"/>
      <c r="D532" s="1" t="str">
        <f t="shared" si="26"/>
        <v/>
      </c>
      <c r="E532" s="20"/>
      <c r="K532" s="25"/>
      <c r="L532" s="23"/>
      <c r="M532" s="32"/>
    </row>
    <row r="533" spans="2:13" s="1" customFormat="1" x14ac:dyDescent="0.25">
      <c r="B533" s="77"/>
      <c r="D533" s="1" t="str">
        <f t="shared" si="26"/>
        <v/>
      </c>
      <c r="E533" s="20"/>
      <c r="K533" s="25"/>
      <c r="L533" s="23"/>
      <c r="M533" s="32"/>
    </row>
    <row r="534" spans="2:13" s="1" customFormat="1" x14ac:dyDescent="0.25">
      <c r="B534" s="77"/>
      <c r="D534" s="1" t="str">
        <f t="shared" si="26"/>
        <v/>
      </c>
      <c r="E534" s="20"/>
      <c r="K534" s="25"/>
      <c r="L534" s="23"/>
      <c r="M534" s="32"/>
    </row>
    <row r="535" spans="2:13" s="1" customFormat="1" x14ac:dyDescent="0.25">
      <c r="B535" s="77"/>
      <c r="D535" s="1" t="str">
        <f t="shared" si="26"/>
        <v/>
      </c>
      <c r="E535" s="20"/>
      <c r="K535" s="25"/>
      <c r="L535" s="23"/>
      <c r="M535" s="32"/>
    </row>
    <row r="536" spans="2:13" s="1" customFormat="1" x14ac:dyDescent="0.25">
      <c r="B536" s="77"/>
      <c r="D536" s="1" t="str">
        <f t="shared" si="26"/>
        <v/>
      </c>
      <c r="E536" s="20"/>
      <c r="K536" s="25"/>
      <c r="L536" s="23"/>
      <c r="M536" s="32"/>
    </row>
    <row r="537" spans="2:13" s="1" customFormat="1" x14ac:dyDescent="0.25">
      <c r="B537" s="77"/>
      <c r="D537" s="1" t="str">
        <f t="shared" si="26"/>
        <v/>
      </c>
      <c r="E537" s="20"/>
      <c r="K537" s="25"/>
      <c r="L537" s="23"/>
      <c r="M537" s="32"/>
    </row>
    <row r="538" spans="2:13" s="1" customFormat="1" x14ac:dyDescent="0.25">
      <c r="B538" s="77"/>
      <c r="D538" s="1" t="str">
        <f t="shared" si="26"/>
        <v/>
      </c>
      <c r="E538" s="20"/>
      <c r="K538" s="25"/>
      <c r="L538" s="23"/>
      <c r="M538" s="32"/>
    </row>
    <row r="539" spans="2:13" s="1" customFormat="1" x14ac:dyDescent="0.25">
      <c r="B539" s="77"/>
      <c r="D539" s="1" t="str">
        <f t="shared" si="26"/>
        <v/>
      </c>
      <c r="E539" s="20"/>
      <c r="K539" s="25"/>
      <c r="L539" s="23"/>
      <c r="M539" s="32"/>
    </row>
    <row r="540" spans="2:13" s="1" customFormat="1" x14ac:dyDescent="0.25">
      <c r="B540" s="77"/>
      <c r="D540" s="1" t="str">
        <f t="shared" si="26"/>
        <v/>
      </c>
      <c r="E540" s="20"/>
      <c r="K540" s="25"/>
      <c r="L540" s="23"/>
      <c r="M540" s="32"/>
    </row>
    <row r="541" spans="2:13" s="1" customFormat="1" x14ac:dyDescent="0.25">
      <c r="B541" s="77"/>
      <c r="D541" s="1" t="str">
        <f t="shared" si="26"/>
        <v/>
      </c>
      <c r="E541" s="20"/>
      <c r="K541" s="25"/>
      <c r="L541" s="23"/>
      <c r="M541" s="32"/>
    </row>
    <row r="542" spans="2:13" s="1" customFormat="1" x14ac:dyDescent="0.25">
      <c r="B542" s="77"/>
      <c r="D542" s="1" t="str">
        <f t="shared" si="26"/>
        <v/>
      </c>
      <c r="E542" s="20"/>
      <c r="K542" s="25"/>
      <c r="L542" s="23"/>
      <c r="M542" s="32"/>
    </row>
    <row r="543" spans="2:13" s="1" customFormat="1" x14ac:dyDescent="0.25">
      <c r="B543" s="77"/>
      <c r="D543" s="1" t="str">
        <f t="shared" si="26"/>
        <v/>
      </c>
      <c r="E543" s="20"/>
      <c r="K543" s="25"/>
      <c r="L543" s="23"/>
      <c r="M543" s="32"/>
    </row>
    <row r="544" spans="2:13" s="1" customFormat="1" x14ac:dyDescent="0.25">
      <c r="B544" s="77"/>
      <c r="D544" s="1" t="str">
        <f t="shared" si="26"/>
        <v/>
      </c>
      <c r="E544" s="20"/>
      <c r="K544" s="25"/>
      <c r="L544" s="23"/>
      <c r="M544" s="32"/>
    </row>
    <row r="545" spans="2:13" s="1" customFormat="1" x14ac:dyDescent="0.25">
      <c r="B545" s="77"/>
      <c r="D545" s="1" t="str">
        <f t="shared" si="26"/>
        <v/>
      </c>
      <c r="E545" s="20"/>
      <c r="K545" s="25"/>
      <c r="L545" s="23"/>
      <c r="M545" s="32"/>
    </row>
    <row r="546" spans="2:13" s="1" customFormat="1" x14ac:dyDescent="0.25">
      <c r="B546" s="77"/>
      <c r="D546" s="1" t="str">
        <f t="shared" si="26"/>
        <v/>
      </c>
      <c r="E546" s="20"/>
      <c r="K546" s="25"/>
      <c r="L546" s="23"/>
      <c r="M546" s="32"/>
    </row>
    <row r="547" spans="2:13" s="1" customFormat="1" x14ac:dyDescent="0.25">
      <c r="B547" s="77"/>
      <c r="D547" s="1" t="str">
        <f t="shared" si="26"/>
        <v/>
      </c>
      <c r="E547" s="20"/>
      <c r="K547" s="25"/>
      <c r="L547" s="23"/>
      <c r="M547" s="32"/>
    </row>
    <row r="548" spans="2:13" s="1" customFormat="1" x14ac:dyDescent="0.25">
      <c r="B548" s="77"/>
      <c r="D548" s="1" t="str">
        <f t="shared" si="26"/>
        <v/>
      </c>
      <c r="E548" s="20"/>
      <c r="K548" s="25"/>
      <c r="L548" s="23"/>
      <c r="M548" s="32"/>
    </row>
    <row r="549" spans="2:13" s="1" customFormat="1" x14ac:dyDescent="0.25">
      <c r="B549" s="77"/>
      <c r="D549" s="1" t="str">
        <f t="shared" si="26"/>
        <v/>
      </c>
      <c r="E549" s="20"/>
      <c r="K549" s="25"/>
      <c r="L549" s="23"/>
      <c r="M549" s="32"/>
    </row>
    <row r="550" spans="2:13" s="1" customFormat="1" x14ac:dyDescent="0.25">
      <c r="B550" s="77"/>
      <c r="D550" s="1" t="str">
        <f t="shared" si="26"/>
        <v/>
      </c>
      <c r="E550" s="20"/>
      <c r="K550" s="25"/>
      <c r="L550" s="23"/>
      <c r="M550" s="32"/>
    </row>
    <row r="551" spans="2:13" s="1" customFormat="1" x14ac:dyDescent="0.25">
      <c r="B551" s="77"/>
      <c r="D551" s="1" t="str">
        <f t="shared" si="26"/>
        <v/>
      </c>
      <c r="E551" s="20"/>
      <c r="K551" s="25"/>
      <c r="L551" s="23"/>
      <c r="M551" s="32"/>
    </row>
    <row r="552" spans="2:13" s="1" customFormat="1" x14ac:dyDescent="0.25">
      <c r="B552" s="77"/>
      <c r="D552" s="1" t="str">
        <f t="shared" si="26"/>
        <v/>
      </c>
      <c r="E552" s="20"/>
      <c r="K552" s="25"/>
      <c r="L552" s="23"/>
      <c r="M552" s="32"/>
    </row>
    <row r="553" spans="2:13" s="1" customFormat="1" x14ac:dyDescent="0.25">
      <c r="B553" s="77"/>
      <c r="D553" s="1" t="str">
        <f t="shared" si="26"/>
        <v/>
      </c>
      <c r="E553" s="20"/>
      <c r="K553" s="25"/>
      <c r="L553" s="23"/>
      <c r="M553" s="32"/>
    </row>
    <row r="554" spans="2:13" s="1" customFormat="1" x14ac:dyDescent="0.25">
      <c r="B554" s="77"/>
      <c r="D554" s="1" t="str">
        <f t="shared" si="26"/>
        <v/>
      </c>
      <c r="E554" s="20"/>
      <c r="K554" s="25"/>
      <c r="L554" s="23"/>
      <c r="M554" s="32"/>
    </row>
    <row r="555" spans="2:13" s="1" customFormat="1" x14ac:dyDescent="0.25">
      <c r="B555" s="77"/>
      <c r="D555" s="1" t="str">
        <f t="shared" si="26"/>
        <v/>
      </c>
      <c r="E555" s="20"/>
      <c r="K555" s="25"/>
      <c r="L555" s="23"/>
      <c r="M555" s="32"/>
    </row>
    <row r="556" spans="2:13" s="1" customFormat="1" x14ac:dyDescent="0.25">
      <c r="B556" s="77"/>
      <c r="D556" s="1" t="str">
        <f t="shared" si="26"/>
        <v/>
      </c>
      <c r="E556" s="20"/>
      <c r="K556" s="25"/>
      <c r="L556" s="23"/>
      <c r="M556" s="32"/>
    </row>
    <row r="557" spans="2:13" s="1" customFormat="1" x14ac:dyDescent="0.25">
      <c r="B557" s="77"/>
      <c r="D557" s="1" t="str">
        <f t="shared" si="26"/>
        <v/>
      </c>
      <c r="E557" s="20"/>
      <c r="K557" s="25"/>
      <c r="L557" s="23"/>
      <c r="M557" s="32"/>
    </row>
    <row r="558" spans="2:13" s="1" customFormat="1" x14ac:dyDescent="0.25">
      <c r="B558" s="77"/>
      <c r="D558" s="1" t="str">
        <f t="shared" si="26"/>
        <v/>
      </c>
      <c r="E558" s="20"/>
      <c r="K558" s="25"/>
      <c r="L558" s="23"/>
      <c r="M558" s="32"/>
    </row>
    <row r="559" spans="2:13" s="1" customFormat="1" x14ac:dyDescent="0.25">
      <c r="B559" s="77"/>
      <c r="D559" s="1" t="str">
        <f t="shared" si="26"/>
        <v/>
      </c>
      <c r="E559" s="20"/>
      <c r="K559" s="25"/>
      <c r="L559" s="23"/>
      <c r="M559" s="32"/>
    </row>
    <row r="560" spans="2:13" s="1" customFormat="1" x14ac:dyDescent="0.25">
      <c r="B560" s="77"/>
      <c r="D560" s="1" t="str">
        <f t="shared" si="26"/>
        <v/>
      </c>
      <c r="E560" s="20"/>
      <c r="K560" s="25"/>
      <c r="L560" s="23"/>
      <c r="M560" s="32"/>
    </row>
    <row r="561" spans="2:13" s="1" customFormat="1" x14ac:dyDescent="0.25">
      <c r="B561" s="77"/>
      <c r="D561" s="1" t="str">
        <f t="shared" si="26"/>
        <v/>
      </c>
      <c r="E561" s="20"/>
      <c r="K561" s="25"/>
      <c r="L561" s="23"/>
      <c r="M561" s="32"/>
    </row>
    <row r="562" spans="2:13" s="1" customFormat="1" x14ac:dyDescent="0.25">
      <c r="B562" s="77"/>
      <c r="D562" s="1" t="str">
        <f t="shared" si="26"/>
        <v/>
      </c>
      <c r="E562" s="20"/>
      <c r="K562" s="25"/>
      <c r="L562" s="23"/>
      <c r="M562" s="32"/>
    </row>
    <row r="563" spans="2:13" s="1" customFormat="1" x14ac:dyDescent="0.25">
      <c r="B563" s="77"/>
      <c r="D563" s="1" t="str">
        <f t="shared" si="26"/>
        <v/>
      </c>
      <c r="E563" s="20"/>
      <c r="K563" s="25"/>
      <c r="L563" s="23"/>
      <c r="M563" s="32"/>
    </row>
    <row r="564" spans="2:13" s="1" customFormat="1" x14ac:dyDescent="0.25">
      <c r="B564" s="77"/>
      <c r="D564" s="1" t="str">
        <f t="shared" si="26"/>
        <v/>
      </c>
      <c r="E564" s="20"/>
      <c r="K564" s="25"/>
      <c r="L564" s="23"/>
      <c r="M564" s="32"/>
    </row>
    <row r="565" spans="2:13" s="1" customFormat="1" x14ac:dyDescent="0.25">
      <c r="B565" s="77"/>
      <c r="D565" s="1" t="str">
        <f t="shared" si="26"/>
        <v/>
      </c>
      <c r="E565" s="20"/>
      <c r="K565" s="25"/>
      <c r="L565" s="23"/>
      <c r="M565" s="32"/>
    </row>
    <row r="566" spans="2:13" s="1" customFormat="1" x14ac:dyDescent="0.25">
      <c r="B566" s="77"/>
      <c r="D566" s="1" t="str">
        <f t="shared" si="26"/>
        <v/>
      </c>
      <c r="E566" s="20"/>
      <c r="K566" s="25"/>
      <c r="L566" s="23"/>
      <c r="M566" s="32"/>
    </row>
    <row r="567" spans="2:13" s="1" customFormat="1" x14ac:dyDescent="0.25">
      <c r="B567" s="77"/>
      <c r="D567" s="1" t="str">
        <f t="shared" si="26"/>
        <v/>
      </c>
      <c r="E567" s="20"/>
      <c r="K567" s="25"/>
      <c r="L567" s="23"/>
      <c r="M567" s="32"/>
    </row>
    <row r="568" spans="2:13" s="1" customFormat="1" x14ac:dyDescent="0.25">
      <c r="B568" s="77"/>
      <c r="D568" s="1" t="str">
        <f t="shared" si="26"/>
        <v/>
      </c>
      <c r="E568" s="20"/>
      <c r="K568" s="25"/>
      <c r="L568" s="23"/>
      <c r="M568" s="32"/>
    </row>
    <row r="569" spans="2:13" s="1" customFormat="1" x14ac:dyDescent="0.25">
      <c r="B569" s="77"/>
      <c r="D569" s="1" t="str">
        <f t="shared" si="26"/>
        <v/>
      </c>
      <c r="E569" s="20"/>
      <c r="K569" s="25"/>
      <c r="L569" s="23"/>
      <c r="M569" s="32"/>
    </row>
    <row r="570" spans="2:13" s="1" customFormat="1" x14ac:dyDescent="0.25">
      <c r="B570" s="77"/>
      <c r="D570" s="1" t="str">
        <f t="shared" si="26"/>
        <v/>
      </c>
      <c r="E570" s="20"/>
      <c r="K570" s="25"/>
      <c r="L570" s="23"/>
      <c r="M570" s="32"/>
    </row>
    <row r="571" spans="2:13" s="1" customFormat="1" x14ac:dyDescent="0.25">
      <c r="B571" s="77"/>
      <c r="D571" s="1" t="str">
        <f t="shared" si="26"/>
        <v/>
      </c>
      <c r="E571" s="20"/>
      <c r="K571" s="25"/>
      <c r="L571" s="23"/>
      <c r="M571" s="32"/>
    </row>
    <row r="572" spans="2:13" s="1" customFormat="1" x14ac:dyDescent="0.25">
      <c r="B572" s="77"/>
      <c r="D572" s="1" t="str">
        <f t="shared" si="26"/>
        <v/>
      </c>
      <c r="E572" s="20"/>
      <c r="K572" s="25"/>
      <c r="L572" s="23"/>
      <c r="M572" s="32"/>
    </row>
    <row r="573" spans="2:13" s="1" customFormat="1" x14ac:dyDescent="0.25">
      <c r="B573" s="77"/>
      <c r="D573" s="1" t="str">
        <f t="shared" si="26"/>
        <v/>
      </c>
      <c r="E573" s="20"/>
      <c r="K573" s="25"/>
      <c r="L573" s="23"/>
      <c r="M573" s="32"/>
    </row>
    <row r="574" spans="2:13" s="1" customFormat="1" x14ac:dyDescent="0.25">
      <c r="B574" s="77"/>
      <c r="D574" s="1" t="str">
        <f t="shared" si="26"/>
        <v/>
      </c>
      <c r="E574" s="20"/>
      <c r="K574" s="25"/>
      <c r="L574" s="23"/>
      <c r="M574" s="32"/>
    </row>
    <row r="575" spans="2:13" s="1" customFormat="1" x14ac:dyDescent="0.25">
      <c r="B575" s="77"/>
      <c r="D575" s="1" t="str">
        <f t="shared" si="26"/>
        <v/>
      </c>
      <c r="E575" s="20"/>
      <c r="K575" s="25"/>
      <c r="L575" s="23"/>
      <c r="M575" s="32"/>
    </row>
    <row r="576" spans="2:13" s="1" customFormat="1" x14ac:dyDescent="0.25">
      <c r="B576" s="77"/>
      <c r="D576" s="1" t="str">
        <f t="shared" si="26"/>
        <v/>
      </c>
      <c r="E576" s="20"/>
      <c r="K576" s="25"/>
      <c r="L576" s="23"/>
      <c r="M576" s="32"/>
    </row>
    <row r="577" spans="2:13" s="1" customFormat="1" x14ac:dyDescent="0.25">
      <c r="B577" s="77"/>
      <c r="D577" s="1" t="str">
        <f t="shared" si="26"/>
        <v/>
      </c>
      <c r="E577" s="20"/>
      <c r="K577" s="25"/>
      <c r="L577" s="23"/>
      <c r="M577" s="32"/>
    </row>
    <row r="578" spans="2:13" s="1" customFormat="1" x14ac:dyDescent="0.25">
      <c r="B578" s="77"/>
      <c r="D578" s="1" t="str">
        <f t="shared" si="26"/>
        <v/>
      </c>
      <c r="E578" s="20"/>
      <c r="K578" s="25"/>
      <c r="L578" s="23"/>
      <c r="M578" s="32"/>
    </row>
    <row r="579" spans="2:13" s="1" customFormat="1" x14ac:dyDescent="0.25">
      <c r="B579" s="77"/>
      <c r="D579" s="1" t="str">
        <f t="shared" si="26"/>
        <v/>
      </c>
      <c r="E579" s="20"/>
      <c r="K579" s="25"/>
      <c r="L579" s="23"/>
      <c r="M579" s="32"/>
    </row>
    <row r="580" spans="2:13" s="1" customFormat="1" x14ac:dyDescent="0.25">
      <c r="B580" s="77"/>
      <c r="D580" s="1" t="str">
        <f t="shared" si="26"/>
        <v/>
      </c>
      <c r="E580" s="20"/>
      <c r="K580" s="25"/>
      <c r="L580" s="23"/>
      <c r="M580" s="32"/>
    </row>
    <row r="581" spans="2:13" s="1" customFormat="1" x14ac:dyDescent="0.25">
      <c r="B581" s="77"/>
      <c r="D581" s="1" t="str">
        <f t="shared" si="26"/>
        <v/>
      </c>
      <c r="E581" s="20"/>
      <c r="K581" s="25"/>
      <c r="L581" s="23"/>
      <c r="M581" s="32"/>
    </row>
    <row r="582" spans="2:13" s="1" customFormat="1" x14ac:dyDescent="0.25">
      <c r="B582" s="77"/>
      <c r="D582" s="1" t="str">
        <f t="shared" si="26"/>
        <v/>
      </c>
      <c r="E582" s="20"/>
      <c r="K582" s="25"/>
      <c r="L582" s="23"/>
      <c r="M582" s="32"/>
    </row>
    <row r="583" spans="2:13" s="1" customFormat="1" x14ac:dyDescent="0.25">
      <c r="B583" s="77"/>
      <c r="D583" s="1" t="str">
        <f t="shared" si="26"/>
        <v/>
      </c>
      <c r="E583" s="20"/>
      <c r="K583" s="25"/>
      <c r="L583" s="23"/>
      <c r="M583" s="32"/>
    </row>
    <row r="584" spans="2:13" s="1" customFormat="1" x14ac:dyDescent="0.25">
      <c r="B584" s="77"/>
      <c r="D584" s="1" t="str">
        <f t="shared" ref="D584:D647" si="27">IF(F584&lt;&gt;"",RIGHT(F584, LEN(F584) - FIND(" - ", F584) - 2),"")</f>
        <v/>
      </c>
      <c r="E584" s="20"/>
      <c r="K584" s="25"/>
      <c r="L584" s="23"/>
      <c r="M584" s="32"/>
    </row>
    <row r="585" spans="2:13" s="1" customFormat="1" x14ac:dyDescent="0.25">
      <c r="B585" s="77"/>
      <c r="D585" s="1" t="str">
        <f t="shared" si="27"/>
        <v/>
      </c>
      <c r="E585" s="20"/>
      <c r="K585" s="25"/>
      <c r="L585" s="23"/>
      <c r="M585" s="32"/>
    </row>
    <row r="586" spans="2:13" s="1" customFormat="1" x14ac:dyDescent="0.25">
      <c r="B586" s="77"/>
      <c r="D586" s="1" t="str">
        <f t="shared" si="27"/>
        <v/>
      </c>
      <c r="E586" s="20"/>
      <c r="K586" s="25"/>
      <c r="L586" s="23"/>
      <c r="M586" s="32"/>
    </row>
    <row r="587" spans="2:13" s="1" customFormat="1" x14ac:dyDescent="0.25">
      <c r="B587" s="77"/>
      <c r="D587" s="1" t="str">
        <f t="shared" si="27"/>
        <v/>
      </c>
      <c r="E587" s="20"/>
      <c r="K587" s="25"/>
      <c r="L587" s="23"/>
      <c r="M587" s="32"/>
    </row>
    <row r="588" spans="2:13" s="1" customFormat="1" x14ac:dyDescent="0.25">
      <c r="B588" s="77"/>
      <c r="D588" s="1" t="str">
        <f t="shared" si="27"/>
        <v/>
      </c>
      <c r="E588" s="20"/>
      <c r="K588" s="25"/>
      <c r="L588" s="23"/>
      <c r="M588" s="32"/>
    </row>
    <row r="589" spans="2:13" s="1" customFormat="1" x14ac:dyDescent="0.25">
      <c r="B589" s="77"/>
      <c r="D589" s="1" t="str">
        <f t="shared" si="27"/>
        <v/>
      </c>
      <c r="E589" s="20"/>
      <c r="K589" s="25"/>
      <c r="L589" s="23"/>
      <c r="M589" s="32"/>
    </row>
    <row r="590" spans="2:13" s="1" customFormat="1" x14ac:dyDescent="0.25">
      <c r="B590" s="77"/>
      <c r="D590" s="1" t="str">
        <f t="shared" si="27"/>
        <v/>
      </c>
      <c r="E590" s="20"/>
      <c r="K590" s="25"/>
      <c r="L590" s="23"/>
      <c r="M590" s="32"/>
    </row>
    <row r="591" spans="2:13" s="1" customFormat="1" x14ac:dyDescent="0.25">
      <c r="B591" s="77"/>
      <c r="D591" s="1" t="str">
        <f t="shared" si="27"/>
        <v/>
      </c>
      <c r="E591" s="20"/>
      <c r="K591" s="25"/>
      <c r="L591" s="23"/>
      <c r="M591" s="32"/>
    </row>
    <row r="592" spans="2:13" s="1" customFormat="1" x14ac:dyDescent="0.25">
      <c r="B592" s="77"/>
      <c r="D592" s="1" t="str">
        <f t="shared" si="27"/>
        <v/>
      </c>
      <c r="E592" s="20"/>
      <c r="K592" s="25"/>
      <c r="L592" s="23"/>
      <c r="M592" s="32"/>
    </row>
    <row r="593" spans="2:13" s="1" customFormat="1" x14ac:dyDescent="0.25">
      <c r="B593" s="77"/>
      <c r="D593" s="1" t="str">
        <f t="shared" si="27"/>
        <v/>
      </c>
      <c r="E593" s="20"/>
      <c r="K593" s="25"/>
      <c r="L593" s="23"/>
      <c r="M593" s="32"/>
    </row>
    <row r="594" spans="2:13" s="1" customFormat="1" x14ac:dyDescent="0.25">
      <c r="B594" s="77"/>
      <c r="D594" s="1" t="str">
        <f t="shared" si="27"/>
        <v/>
      </c>
      <c r="E594" s="20"/>
      <c r="K594" s="25"/>
      <c r="L594" s="23"/>
      <c r="M594" s="32"/>
    </row>
    <row r="595" spans="2:13" s="1" customFormat="1" x14ac:dyDescent="0.25">
      <c r="B595" s="77"/>
      <c r="D595" s="1" t="str">
        <f t="shared" si="27"/>
        <v/>
      </c>
      <c r="E595" s="20"/>
      <c r="K595" s="25"/>
      <c r="L595" s="23"/>
      <c r="M595" s="32"/>
    </row>
    <row r="596" spans="2:13" s="1" customFormat="1" x14ac:dyDescent="0.25">
      <c r="B596" s="77"/>
      <c r="D596" s="1" t="str">
        <f t="shared" si="27"/>
        <v/>
      </c>
      <c r="E596" s="20"/>
      <c r="K596" s="25"/>
      <c r="L596" s="23"/>
      <c r="M596" s="32"/>
    </row>
    <row r="597" spans="2:13" s="1" customFormat="1" x14ac:dyDescent="0.25">
      <c r="B597" s="77"/>
      <c r="D597" s="1" t="str">
        <f t="shared" si="27"/>
        <v/>
      </c>
      <c r="E597" s="20"/>
      <c r="K597" s="25"/>
      <c r="L597" s="23"/>
      <c r="M597" s="32"/>
    </row>
    <row r="598" spans="2:13" s="1" customFormat="1" x14ac:dyDescent="0.25">
      <c r="B598" s="77"/>
      <c r="D598" s="1" t="str">
        <f t="shared" si="27"/>
        <v/>
      </c>
      <c r="E598" s="20"/>
      <c r="K598" s="25"/>
      <c r="L598" s="23"/>
      <c r="M598" s="32"/>
    </row>
    <row r="599" spans="2:13" s="1" customFormat="1" x14ac:dyDescent="0.25">
      <c r="B599" s="77"/>
      <c r="D599" s="1" t="str">
        <f t="shared" si="27"/>
        <v/>
      </c>
      <c r="E599" s="20"/>
      <c r="K599" s="25"/>
      <c r="L599" s="23"/>
      <c r="M599" s="32"/>
    </row>
    <row r="600" spans="2:13" s="1" customFormat="1" x14ac:dyDescent="0.25">
      <c r="B600" s="77"/>
      <c r="D600" s="1" t="str">
        <f t="shared" si="27"/>
        <v/>
      </c>
      <c r="E600" s="20"/>
      <c r="K600" s="25"/>
      <c r="L600" s="23"/>
      <c r="M600" s="32"/>
    </row>
    <row r="601" spans="2:13" s="1" customFormat="1" x14ac:dyDescent="0.25">
      <c r="B601" s="77"/>
      <c r="D601" s="1" t="str">
        <f t="shared" si="27"/>
        <v/>
      </c>
      <c r="E601" s="20"/>
      <c r="K601" s="25"/>
      <c r="L601" s="23"/>
      <c r="M601" s="32"/>
    </row>
    <row r="602" spans="2:13" s="1" customFormat="1" x14ac:dyDescent="0.25">
      <c r="B602" s="77"/>
      <c r="D602" s="1" t="str">
        <f t="shared" si="27"/>
        <v/>
      </c>
      <c r="E602" s="20"/>
      <c r="K602" s="25"/>
      <c r="L602" s="23"/>
      <c r="M602" s="32"/>
    </row>
    <row r="603" spans="2:13" s="1" customFormat="1" x14ac:dyDescent="0.25">
      <c r="B603" s="77"/>
      <c r="D603" s="1" t="str">
        <f t="shared" si="27"/>
        <v/>
      </c>
      <c r="E603" s="20"/>
      <c r="K603" s="25"/>
      <c r="L603" s="23"/>
      <c r="M603" s="32"/>
    </row>
    <row r="604" spans="2:13" s="1" customFormat="1" x14ac:dyDescent="0.25">
      <c r="B604" s="77"/>
      <c r="D604" s="1" t="str">
        <f t="shared" si="27"/>
        <v/>
      </c>
      <c r="E604" s="20"/>
      <c r="K604" s="25"/>
      <c r="L604" s="23"/>
      <c r="M604" s="32"/>
    </row>
    <row r="605" spans="2:13" s="1" customFormat="1" x14ac:dyDescent="0.25">
      <c r="B605" s="77"/>
      <c r="D605" s="1" t="str">
        <f t="shared" si="27"/>
        <v/>
      </c>
      <c r="E605" s="20"/>
      <c r="K605" s="25"/>
      <c r="L605" s="23"/>
      <c r="M605" s="32"/>
    </row>
    <row r="606" spans="2:13" s="1" customFormat="1" x14ac:dyDescent="0.25">
      <c r="B606" s="77"/>
      <c r="D606" s="1" t="str">
        <f t="shared" si="27"/>
        <v/>
      </c>
      <c r="E606" s="20"/>
      <c r="K606" s="25"/>
      <c r="L606" s="23"/>
      <c r="M606" s="32"/>
    </row>
    <row r="607" spans="2:13" s="1" customFormat="1" x14ac:dyDescent="0.25">
      <c r="B607" s="77"/>
      <c r="D607" s="1" t="str">
        <f t="shared" si="27"/>
        <v/>
      </c>
      <c r="E607" s="20"/>
      <c r="K607" s="25"/>
      <c r="L607" s="23"/>
      <c r="M607" s="32"/>
    </row>
    <row r="608" spans="2:13" s="1" customFormat="1" x14ac:dyDescent="0.25">
      <c r="B608" s="77"/>
      <c r="D608" s="1" t="str">
        <f t="shared" si="27"/>
        <v/>
      </c>
      <c r="E608" s="20"/>
      <c r="K608" s="25"/>
      <c r="L608" s="23"/>
      <c r="M608" s="32"/>
    </row>
    <row r="609" spans="2:13" s="1" customFormat="1" x14ac:dyDescent="0.25">
      <c r="B609" s="77"/>
      <c r="D609" s="1" t="str">
        <f t="shared" si="27"/>
        <v/>
      </c>
      <c r="E609" s="20"/>
      <c r="K609" s="25"/>
      <c r="L609" s="23"/>
      <c r="M609" s="32"/>
    </row>
    <row r="610" spans="2:13" s="1" customFormat="1" x14ac:dyDescent="0.25">
      <c r="B610" s="77"/>
      <c r="D610" s="1" t="str">
        <f t="shared" si="27"/>
        <v/>
      </c>
      <c r="E610" s="20"/>
      <c r="K610" s="25"/>
      <c r="L610" s="23"/>
      <c r="M610" s="32"/>
    </row>
    <row r="611" spans="2:13" s="1" customFormat="1" x14ac:dyDescent="0.25">
      <c r="B611" s="77"/>
      <c r="D611" s="1" t="str">
        <f t="shared" si="27"/>
        <v/>
      </c>
      <c r="E611" s="20"/>
      <c r="K611" s="25"/>
      <c r="L611" s="23"/>
      <c r="M611" s="32"/>
    </row>
    <row r="612" spans="2:13" s="1" customFormat="1" x14ac:dyDescent="0.25">
      <c r="B612" s="77"/>
      <c r="D612" s="1" t="str">
        <f t="shared" si="27"/>
        <v/>
      </c>
      <c r="E612" s="20"/>
      <c r="K612" s="25"/>
      <c r="L612" s="23"/>
      <c r="M612" s="32"/>
    </row>
    <row r="613" spans="2:13" s="1" customFormat="1" x14ac:dyDescent="0.25">
      <c r="B613" s="77"/>
      <c r="D613" s="1" t="str">
        <f t="shared" si="27"/>
        <v/>
      </c>
      <c r="E613" s="20"/>
      <c r="K613" s="25"/>
      <c r="L613" s="23"/>
      <c r="M613" s="32"/>
    </row>
    <row r="614" spans="2:13" s="1" customFormat="1" x14ac:dyDescent="0.25">
      <c r="B614" s="77"/>
      <c r="D614" s="1" t="str">
        <f t="shared" si="27"/>
        <v/>
      </c>
      <c r="E614" s="20"/>
      <c r="K614" s="25"/>
      <c r="L614" s="23"/>
      <c r="M614" s="32"/>
    </row>
    <row r="615" spans="2:13" s="1" customFormat="1" x14ac:dyDescent="0.25">
      <c r="B615" s="77"/>
      <c r="D615" s="1" t="str">
        <f t="shared" si="27"/>
        <v/>
      </c>
      <c r="E615" s="20"/>
      <c r="K615" s="25"/>
      <c r="L615" s="23"/>
      <c r="M615" s="32"/>
    </row>
    <row r="616" spans="2:13" s="1" customFormat="1" x14ac:dyDescent="0.25">
      <c r="B616" s="77"/>
      <c r="D616" s="1" t="str">
        <f t="shared" si="27"/>
        <v/>
      </c>
      <c r="E616" s="20"/>
      <c r="K616" s="25"/>
      <c r="L616" s="23"/>
      <c r="M616" s="32"/>
    </row>
    <row r="617" spans="2:13" s="1" customFormat="1" x14ac:dyDescent="0.25">
      <c r="B617" s="77"/>
      <c r="D617" s="1" t="str">
        <f t="shared" si="27"/>
        <v/>
      </c>
      <c r="E617" s="20"/>
      <c r="K617" s="25"/>
      <c r="L617" s="23"/>
      <c r="M617" s="32"/>
    </row>
    <row r="618" spans="2:13" s="1" customFormat="1" x14ac:dyDescent="0.25">
      <c r="B618" s="77"/>
      <c r="D618" s="1" t="str">
        <f t="shared" si="27"/>
        <v/>
      </c>
      <c r="E618" s="20"/>
      <c r="K618" s="25"/>
      <c r="L618" s="23"/>
      <c r="M618" s="32"/>
    </row>
    <row r="619" spans="2:13" s="1" customFormat="1" x14ac:dyDescent="0.25">
      <c r="B619" s="77"/>
      <c r="D619" s="1" t="str">
        <f t="shared" si="27"/>
        <v/>
      </c>
      <c r="E619" s="20"/>
      <c r="K619" s="25"/>
      <c r="L619" s="23"/>
      <c r="M619" s="32"/>
    </row>
    <row r="620" spans="2:13" s="1" customFormat="1" x14ac:dyDescent="0.25">
      <c r="B620" s="77"/>
      <c r="D620" s="1" t="str">
        <f t="shared" si="27"/>
        <v/>
      </c>
      <c r="E620" s="20"/>
      <c r="K620" s="25"/>
      <c r="L620" s="23"/>
      <c r="M620" s="32"/>
    </row>
    <row r="621" spans="2:13" s="1" customFormat="1" x14ac:dyDescent="0.25">
      <c r="B621" s="77"/>
      <c r="D621" s="1" t="str">
        <f t="shared" si="27"/>
        <v/>
      </c>
      <c r="E621" s="20"/>
      <c r="K621" s="25"/>
      <c r="L621" s="23"/>
      <c r="M621" s="32"/>
    </row>
    <row r="622" spans="2:13" s="1" customFormat="1" x14ac:dyDescent="0.25">
      <c r="B622" s="77"/>
      <c r="D622" s="1" t="str">
        <f t="shared" si="27"/>
        <v/>
      </c>
      <c r="E622" s="20"/>
      <c r="K622" s="25"/>
      <c r="L622" s="23"/>
      <c r="M622" s="32"/>
    </row>
    <row r="623" spans="2:13" s="1" customFormat="1" x14ac:dyDescent="0.25">
      <c r="B623" s="77"/>
      <c r="D623" s="1" t="str">
        <f t="shared" si="27"/>
        <v/>
      </c>
      <c r="E623" s="20"/>
      <c r="K623" s="25"/>
      <c r="L623" s="23"/>
      <c r="M623" s="32"/>
    </row>
    <row r="624" spans="2:13" s="1" customFormat="1" x14ac:dyDescent="0.25">
      <c r="B624" s="77"/>
      <c r="D624" s="1" t="str">
        <f t="shared" si="27"/>
        <v/>
      </c>
      <c r="E624" s="20"/>
      <c r="K624" s="25"/>
      <c r="L624" s="23"/>
      <c r="M624" s="32"/>
    </row>
    <row r="625" spans="2:13" s="1" customFormat="1" x14ac:dyDescent="0.25">
      <c r="B625" s="77"/>
      <c r="D625" s="1" t="str">
        <f t="shared" si="27"/>
        <v/>
      </c>
      <c r="E625" s="20"/>
      <c r="K625" s="25"/>
      <c r="L625" s="23"/>
      <c r="M625" s="32"/>
    </row>
    <row r="626" spans="2:13" s="1" customFormat="1" x14ac:dyDescent="0.25">
      <c r="B626" s="77"/>
      <c r="D626" s="1" t="str">
        <f t="shared" si="27"/>
        <v/>
      </c>
      <c r="E626" s="20"/>
      <c r="K626" s="25"/>
      <c r="L626" s="23"/>
      <c r="M626" s="32"/>
    </row>
    <row r="627" spans="2:13" s="1" customFormat="1" x14ac:dyDescent="0.25">
      <c r="B627" s="77"/>
      <c r="D627" s="1" t="str">
        <f t="shared" si="27"/>
        <v/>
      </c>
      <c r="E627" s="20"/>
      <c r="K627" s="25"/>
      <c r="L627" s="23"/>
      <c r="M627" s="32"/>
    </row>
    <row r="628" spans="2:13" s="1" customFormat="1" x14ac:dyDescent="0.25">
      <c r="B628" s="77"/>
      <c r="D628" s="1" t="str">
        <f t="shared" si="27"/>
        <v/>
      </c>
      <c r="E628" s="20"/>
      <c r="K628" s="25"/>
      <c r="L628" s="23"/>
      <c r="M628" s="32"/>
    </row>
    <row r="629" spans="2:13" s="1" customFormat="1" x14ac:dyDescent="0.25">
      <c r="B629" s="77"/>
      <c r="D629" s="1" t="str">
        <f t="shared" si="27"/>
        <v/>
      </c>
      <c r="E629" s="20"/>
      <c r="K629" s="25"/>
      <c r="L629" s="23"/>
      <c r="M629" s="32"/>
    </row>
    <row r="630" spans="2:13" s="1" customFormat="1" x14ac:dyDescent="0.25">
      <c r="B630" s="77"/>
      <c r="D630" s="1" t="str">
        <f t="shared" si="27"/>
        <v/>
      </c>
      <c r="E630" s="20"/>
      <c r="K630" s="25"/>
      <c r="L630" s="23"/>
      <c r="M630" s="32"/>
    </row>
    <row r="631" spans="2:13" s="1" customFormat="1" x14ac:dyDescent="0.25">
      <c r="B631" s="77"/>
      <c r="D631" s="1" t="str">
        <f t="shared" si="27"/>
        <v/>
      </c>
      <c r="E631" s="20"/>
      <c r="K631" s="25"/>
      <c r="L631" s="23"/>
      <c r="M631" s="32"/>
    </row>
    <row r="632" spans="2:13" s="1" customFormat="1" x14ac:dyDescent="0.25">
      <c r="B632" s="77"/>
      <c r="D632" s="1" t="str">
        <f t="shared" si="27"/>
        <v/>
      </c>
      <c r="E632" s="20"/>
      <c r="K632" s="25"/>
      <c r="L632" s="23"/>
      <c r="M632" s="32"/>
    </row>
    <row r="633" spans="2:13" s="1" customFormat="1" x14ac:dyDescent="0.25">
      <c r="B633" s="77"/>
      <c r="D633" s="1" t="str">
        <f t="shared" si="27"/>
        <v/>
      </c>
      <c r="E633" s="20"/>
      <c r="K633" s="25"/>
      <c r="L633" s="23"/>
      <c r="M633" s="32"/>
    </row>
    <row r="634" spans="2:13" s="1" customFormat="1" x14ac:dyDescent="0.25">
      <c r="B634" s="77"/>
      <c r="D634" s="1" t="str">
        <f t="shared" si="27"/>
        <v/>
      </c>
      <c r="E634" s="20"/>
      <c r="K634" s="25"/>
      <c r="L634" s="23"/>
      <c r="M634" s="32"/>
    </row>
    <row r="635" spans="2:13" s="1" customFormat="1" x14ac:dyDescent="0.25">
      <c r="B635" s="77"/>
      <c r="D635" s="1" t="str">
        <f t="shared" si="27"/>
        <v/>
      </c>
      <c r="E635" s="20"/>
      <c r="K635" s="25"/>
      <c r="L635" s="23"/>
      <c r="M635" s="32"/>
    </row>
    <row r="636" spans="2:13" s="1" customFormat="1" x14ac:dyDescent="0.25">
      <c r="B636" s="77"/>
      <c r="D636" s="1" t="str">
        <f t="shared" si="27"/>
        <v/>
      </c>
      <c r="E636" s="20"/>
      <c r="K636" s="25"/>
      <c r="L636" s="23"/>
      <c r="M636" s="32"/>
    </row>
    <row r="637" spans="2:13" s="1" customFormat="1" x14ac:dyDescent="0.25">
      <c r="B637" s="77"/>
      <c r="D637" s="1" t="str">
        <f t="shared" si="27"/>
        <v/>
      </c>
      <c r="E637" s="20"/>
      <c r="K637" s="25"/>
      <c r="L637" s="23"/>
      <c r="M637" s="32"/>
    </row>
    <row r="638" spans="2:13" s="1" customFormat="1" x14ac:dyDescent="0.25">
      <c r="B638" s="77"/>
      <c r="D638" s="1" t="str">
        <f t="shared" si="27"/>
        <v/>
      </c>
      <c r="E638" s="20"/>
      <c r="K638" s="25"/>
      <c r="L638" s="23"/>
      <c r="M638" s="32"/>
    </row>
    <row r="639" spans="2:13" s="1" customFormat="1" x14ac:dyDescent="0.25">
      <c r="B639" s="77"/>
      <c r="D639" s="1" t="str">
        <f t="shared" si="27"/>
        <v/>
      </c>
      <c r="E639" s="20"/>
      <c r="K639" s="25"/>
      <c r="L639" s="23"/>
      <c r="M639" s="32"/>
    </row>
    <row r="640" spans="2:13" s="1" customFormat="1" x14ac:dyDescent="0.25">
      <c r="B640" s="77"/>
      <c r="D640" s="1" t="str">
        <f t="shared" si="27"/>
        <v/>
      </c>
      <c r="E640" s="20"/>
      <c r="K640" s="25"/>
      <c r="L640" s="23"/>
      <c r="M640" s="32"/>
    </row>
    <row r="641" spans="2:13" s="1" customFormat="1" x14ac:dyDescent="0.25">
      <c r="B641" s="77"/>
      <c r="D641" s="1" t="str">
        <f t="shared" si="27"/>
        <v/>
      </c>
      <c r="E641" s="20"/>
      <c r="K641" s="25"/>
      <c r="L641" s="23"/>
      <c r="M641" s="32"/>
    </row>
    <row r="642" spans="2:13" s="1" customFormat="1" x14ac:dyDescent="0.25">
      <c r="B642" s="77"/>
      <c r="D642" s="1" t="str">
        <f t="shared" si="27"/>
        <v/>
      </c>
      <c r="E642" s="20"/>
      <c r="K642" s="25"/>
      <c r="L642" s="23"/>
      <c r="M642" s="32"/>
    </row>
    <row r="643" spans="2:13" s="1" customFormat="1" x14ac:dyDescent="0.25">
      <c r="B643" s="77"/>
      <c r="D643" s="1" t="str">
        <f t="shared" si="27"/>
        <v/>
      </c>
      <c r="E643" s="20"/>
      <c r="K643" s="25"/>
      <c r="L643" s="23"/>
      <c r="M643" s="32"/>
    </row>
    <row r="644" spans="2:13" s="1" customFormat="1" x14ac:dyDescent="0.25">
      <c r="B644" s="77"/>
      <c r="D644" s="1" t="str">
        <f t="shared" si="27"/>
        <v/>
      </c>
      <c r="E644" s="20"/>
      <c r="K644" s="25"/>
      <c r="L644" s="23"/>
      <c r="M644" s="32"/>
    </row>
    <row r="645" spans="2:13" s="1" customFormat="1" x14ac:dyDescent="0.25">
      <c r="B645" s="77"/>
      <c r="D645" s="1" t="str">
        <f t="shared" si="27"/>
        <v/>
      </c>
      <c r="E645" s="20"/>
      <c r="K645" s="25"/>
      <c r="L645" s="23"/>
      <c r="M645" s="32"/>
    </row>
    <row r="646" spans="2:13" s="1" customFormat="1" x14ac:dyDescent="0.25">
      <c r="B646" s="77"/>
      <c r="D646" s="1" t="str">
        <f t="shared" si="27"/>
        <v/>
      </c>
      <c r="E646" s="20"/>
      <c r="K646" s="25"/>
      <c r="L646" s="23"/>
      <c r="M646" s="32"/>
    </row>
    <row r="647" spans="2:13" s="1" customFormat="1" x14ac:dyDescent="0.25">
      <c r="B647" s="77"/>
      <c r="D647" s="1" t="str">
        <f t="shared" si="27"/>
        <v/>
      </c>
      <c r="E647" s="20"/>
      <c r="K647" s="25"/>
      <c r="L647" s="23"/>
      <c r="M647" s="32"/>
    </row>
    <row r="648" spans="2:13" s="1" customFormat="1" x14ac:dyDescent="0.25">
      <c r="B648" s="77"/>
      <c r="D648" s="1" t="str">
        <f t="shared" ref="D648:D711" si="28">IF(F648&lt;&gt;"",RIGHT(F648, LEN(F648) - FIND(" - ", F648) - 2),"")</f>
        <v/>
      </c>
      <c r="E648" s="20"/>
      <c r="K648" s="25"/>
      <c r="L648" s="23"/>
      <c r="M648" s="32"/>
    </row>
    <row r="649" spans="2:13" s="1" customFormat="1" x14ac:dyDescent="0.25">
      <c r="B649" s="77"/>
      <c r="D649" s="1" t="str">
        <f t="shared" si="28"/>
        <v/>
      </c>
      <c r="E649" s="20"/>
      <c r="K649" s="25"/>
      <c r="L649" s="23"/>
      <c r="M649" s="32"/>
    </row>
    <row r="650" spans="2:13" s="1" customFormat="1" x14ac:dyDescent="0.25">
      <c r="B650" s="77"/>
      <c r="D650" s="1" t="str">
        <f t="shared" si="28"/>
        <v/>
      </c>
      <c r="E650" s="20"/>
      <c r="K650" s="25"/>
      <c r="L650" s="23"/>
      <c r="M650" s="32"/>
    </row>
    <row r="651" spans="2:13" s="1" customFormat="1" x14ac:dyDescent="0.25">
      <c r="B651" s="77"/>
      <c r="D651" s="1" t="str">
        <f t="shared" si="28"/>
        <v/>
      </c>
      <c r="E651" s="20"/>
      <c r="K651" s="25"/>
      <c r="L651" s="23"/>
      <c r="M651" s="32"/>
    </row>
    <row r="652" spans="2:13" s="1" customFormat="1" x14ac:dyDescent="0.25">
      <c r="B652" s="77"/>
      <c r="D652" s="1" t="str">
        <f t="shared" si="28"/>
        <v/>
      </c>
      <c r="E652" s="20"/>
      <c r="K652" s="25"/>
      <c r="L652" s="23"/>
      <c r="M652" s="32"/>
    </row>
    <row r="653" spans="2:13" s="1" customFormat="1" x14ac:dyDescent="0.25">
      <c r="B653" s="77"/>
      <c r="D653" s="1" t="str">
        <f t="shared" si="28"/>
        <v/>
      </c>
      <c r="E653" s="20"/>
      <c r="K653" s="25"/>
      <c r="L653" s="23"/>
      <c r="M653" s="32"/>
    </row>
    <row r="654" spans="2:13" s="1" customFormat="1" x14ac:dyDescent="0.25">
      <c r="B654" s="77"/>
      <c r="D654" s="1" t="str">
        <f t="shared" si="28"/>
        <v/>
      </c>
      <c r="E654" s="20"/>
      <c r="K654" s="25"/>
      <c r="L654" s="23"/>
      <c r="M654" s="32"/>
    </row>
    <row r="655" spans="2:13" s="1" customFormat="1" x14ac:dyDescent="0.25">
      <c r="B655" s="77"/>
      <c r="D655" s="1" t="str">
        <f t="shared" si="28"/>
        <v/>
      </c>
      <c r="E655" s="20"/>
      <c r="K655" s="25"/>
      <c r="L655" s="23"/>
      <c r="M655" s="32"/>
    </row>
    <row r="656" spans="2:13" s="1" customFormat="1" x14ac:dyDescent="0.25">
      <c r="B656" s="77"/>
      <c r="D656" s="1" t="str">
        <f t="shared" si="28"/>
        <v/>
      </c>
      <c r="E656" s="20"/>
      <c r="K656" s="25"/>
      <c r="L656" s="23"/>
      <c r="M656" s="32"/>
    </row>
    <row r="657" spans="2:13" s="1" customFormat="1" x14ac:dyDescent="0.25">
      <c r="B657" s="77"/>
      <c r="D657" s="1" t="str">
        <f t="shared" si="28"/>
        <v/>
      </c>
      <c r="E657" s="20"/>
      <c r="K657" s="25"/>
      <c r="L657" s="23"/>
      <c r="M657" s="32"/>
    </row>
    <row r="658" spans="2:13" s="1" customFormat="1" x14ac:dyDescent="0.25">
      <c r="B658" s="77"/>
      <c r="D658" s="1" t="str">
        <f t="shared" si="28"/>
        <v/>
      </c>
      <c r="E658" s="20"/>
      <c r="K658" s="25"/>
      <c r="L658" s="23"/>
      <c r="M658" s="32"/>
    </row>
    <row r="659" spans="2:13" s="1" customFormat="1" x14ac:dyDescent="0.25">
      <c r="B659" s="77"/>
      <c r="D659" s="1" t="str">
        <f t="shared" si="28"/>
        <v/>
      </c>
      <c r="E659" s="20"/>
      <c r="K659" s="25"/>
      <c r="L659" s="23"/>
      <c r="M659" s="32"/>
    </row>
    <row r="660" spans="2:13" s="1" customFormat="1" x14ac:dyDescent="0.25">
      <c r="B660" s="77"/>
      <c r="D660" s="1" t="str">
        <f t="shared" si="28"/>
        <v/>
      </c>
      <c r="E660" s="20"/>
      <c r="K660" s="25"/>
      <c r="L660" s="23"/>
      <c r="M660" s="32"/>
    </row>
    <row r="661" spans="2:13" s="1" customFormat="1" x14ac:dyDescent="0.25">
      <c r="B661" s="77"/>
      <c r="D661" s="1" t="str">
        <f t="shared" si="28"/>
        <v/>
      </c>
      <c r="E661" s="20"/>
      <c r="K661" s="25"/>
      <c r="L661" s="23"/>
      <c r="M661" s="32"/>
    </row>
    <row r="662" spans="2:13" s="1" customFormat="1" x14ac:dyDescent="0.25">
      <c r="B662" s="77"/>
      <c r="D662" s="1" t="str">
        <f t="shared" si="28"/>
        <v/>
      </c>
      <c r="E662" s="20"/>
      <c r="K662" s="25"/>
      <c r="L662" s="23"/>
      <c r="M662" s="32"/>
    </row>
    <row r="663" spans="2:13" s="1" customFormat="1" x14ac:dyDescent="0.25">
      <c r="B663" s="77"/>
      <c r="D663" s="1" t="str">
        <f t="shared" si="28"/>
        <v/>
      </c>
      <c r="E663" s="20"/>
      <c r="K663" s="25"/>
      <c r="L663" s="23"/>
      <c r="M663" s="32"/>
    </row>
    <row r="664" spans="2:13" s="1" customFormat="1" x14ac:dyDescent="0.25">
      <c r="B664" s="77"/>
      <c r="D664" s="1" t="str">
        <f t="shared" si="28"/>
        <v/>
      </c>
      <c r="E664" s="20"/>
      <c r="K664" s="25"/>
      <c r="L664" s="23"/>
      <c r="M664" s="32"/>
    </row>
    <row r="665" spans="2:13" s="1" customFormat="1" x14ac:dyDescent="0.25">
      <c r="B665" s="77"/>
      <c r="D665" s="1" t="str">
        <f t="shared" si="28"/>
        <v/>
      </c>
      <c r="E665" s="20"/>
      <c r="K665" s="25"/>
      <c r="L665" s="23"/>
      <c r="M665" s="32"/>
    </row>
    <row r="666" spans="2:13" s="1" customFormat="1" x14ac:dyDescent="0.25">
      <c r="B666" s="77"/>
      <c r="D666" s="1" t="str">
        <f t="shared" si="28"/>
        <v/>
      </c>
      <c r="E666" s="20"/>
      <c r="K666" s="25"/>
      <c r="L666" s="23"/>
      <c r="M666" s="32"/>
    </row>
    <row r="667" spans="2:13" s="1" customFormat="1" x14ac:dyDescent="0.25">
      <c r="B667" s="77"/>
      <c r="D667" s="1" t="str">
        <f t="shared" si="28"/>
        <v/>
      </c>
      <c r="E667" s="20"/>
      <c r="K667" s="25"/>
      <c r="L667" s="23"/>
      <c r="M667" s="32"/>
    </row>
    <row r="668" spans="2:13" s="1" customFormat="1" x14ac:dyDescent="0.25">
      <c r="B668" s="77"/>
      <c r="D668" s="1" t="str">
        <f t="shared" si="28"/>
        <v/>
      </c>
      <c r="E668" s="20"/>
      <c r="K668" s="25"/>
      <c r="L668" s="23"/>
      <c r="M668" s="32"/>
    </row>
    <row r="669" spans="2:13" s="1" customFormat="1" x14ac:dyDescent="0.25">
      <c r="B669" s="77"/>
      <c r="D669" s="1" t="str">
        <f t="shared" si="28"/>
        <v/>
      </c>
      <c r="E669" s="20"/>
      <c r="K669" s="25"/>
      <c r="L669" s="23"/>
      <c r="M669" s="32"/>
    </row>
    <row r="670" spans="2:13" s="1" customFormat="1" x14ac:dyDescent="0.25">
      <c r="B670" s="77"/>
      <c r="D670" s="1" t="str">
        <f t="shared" si="28"/>
        <v/>
      </c>
      <c r="E670" s="20"/>
      <c r="K670" s="25"/>
      <c r="L670" s="23"/>
      <c r="M670" s="32"/>
    </row>
    <row r="671" spans="2:13" s="1" customFormat="1" x14ac:dyDescent="0.25">
      <c r="B671" s="77"/>
      <c r="D671" s="1" t="str">
        <f t="shared" si="28"/>
        <v/>
      </c>
      <c r="E671" s="20"/>
      <c r="K671" s="25"/>
      <c r="L671" s="23"/>
      <c r="M671" s="32"/>
    </row>
    <row r="672" spans="2:13" s="1" customFormat="1" x14ac:dyDescent="0.25">
      <c r="B672" s="77"/>
      <c r="D672" s="1" t="str">
        <f t="shared" si="28"/>
        <v/>
      </c>
      <c r="E672" s="20"/>
      <c r="K672" s="25"/>
      <c r="L672" s="23"/>
      <c r="M672" s="32"/>
    </row>
    <row r="673" spans="2:13" s="1" customFormat="1" x14ac:dyDescent="0.25">
      <c r="B673" s="77"/>
      <c r="D673" s="1" t="str">
        <f t="shared" si="28"/>
        <v/>
      </c>
      <c r="E673" s="20"/>
      <c r="K673" s="25"/>
      <c r="L673" s="23"/>
      <c r="M673" s="32"/>
    </row>
    <row r="674" spans="2:13" s="1" customFormat="1" x14ac:dyDescent="0.25">
      <c r="B674" s="77"/>
      <c r="D674" s="1" t="str">
        <f t="shared" si="28"/>
        <v/>
      </c>
      <c r="E674" s="20"/>
      <c r="K674" s="25"/>
      <c r="L674" s="23"/>
      <c r="M674" s="32"/>
    </row>
    <row r="675" spans="2:13" s="1" customFormat="1" x14ac:dyDescent="0.25">
      <c r="B675" s="77"/>
      <c r="D675" s="1" t="str">
        <f t="shared" si="28"/>
        <v/>
      </c>
      <c r="E675" s="20"/>
      <c r="K675" s="25"/>
      <c r="L675" s="23"/>
      <c r="M675" s="32"/>
    </row>
    <row r="676" spans="2:13" s="1" customFormat="1" x14ac:dyDescent="0.25">
      <c r="B676" s="77"/>
      <c r="D676" s="1" t="str">
        <f t="shared" si="28"/>
        <v/>
      </c>
      <c r="E676" s="20"/>
      <c r="K676" s="25"/>
      <c r="L676" s="23"/>
      <c r="M676" s="32"/>
    </row>
    <row r="677" spans="2:13" s="1" customFormat="1" x14ac:dyDescent="0.25">
      <c r="B677" s="77"/>
      <c r="D677" s="1" t="str">
        <f t="shared" si="28"/>
        <v/>
      </c>
      <c r="E677" s="20"/>
      <c r="K677" s="25"/>
      <c r="L677" s="23"/>
      <c r="M677" s="32"/>
    </row>
    <row r="678" spans="2:13" s="1" customFormat="1" x14ac:dyDescent="0.25">
      <c r="B678" s="77"/>
      <c r="D678" s="1" t="str">
        <f t="shared" si="28"/>
        <v/>
      </c>
      <c r="E678" s="20"/>
      <c r="K678" s="25"/>
      <c r="L678" s="23"/>
      <c r="M678" s="32"/>
    </row>
    <row r="679" spans="2:13" s="1" customFormat="1" x14ac:dyDescent="0.25">
      <c r="B679" s="77"/>
      <c r="D679" s="1" t="str">
        <f t="shared" si="28"/>
        <v/>
      </c>
      <c r="E679" s="20"/>
      <c r="K679" s="25"/>
      <c r="L679" s="23"/>
      <c r="M679" s="32"/>
    </row>
    <row r="680" spans="2:13" s="1" customFormat="1" x14ac:dyDescent="0.25">
      <c r="B680" s="77"/>
      <c r="D680" s="1" t="str">
        <f t="shared" si="28"/>
        <v/>
      </c>
      <c r="E680" s="20"/>
      <c r="K680" s="25"/>
      <c r="L680" s="23"/>
      <c r="M680" s="32"/>
    </row>
    <row r="681" spans="2:13" s="1" customFormat="1" x14ac:dyDescent="0.25">
      <c r="B681" s="77"/>
      <c r="D681" s="1" t="str">
        <f t="shared" si="28"/>
        <v/>
      </c>
      <c r="E681" s="20"/>
      <c r="K681" s="25"/>
      <c r="L681" s="23"/>
      <c r="M681" s="32"/>
    </row>
    <row r="682" spans="2:13" s="1" customFormat="1" x14ac:dyDescent="0.25">
      <c r="B682" s="77"/>
      <c r="D682" s="1" t="str">
        <f t="shared" si="28"/>
        <v/>
      </c>
      <c r="E682" s="20"/>
      <c r="K682" s="25"/>
      <c r="L682" s="23"/>
      <c r="M682" s="32"/>
    </row>
    <row r="683" spans="2:13" s="1" customFormat="1" x14ac:dyDescent="0.25">
      <c r="B683" s="77"/>
      <c r="D683" s="1" t="str">
        <f t="shared" si="28"/>
        <v/>
      </c>
      <c r="E683" s="20"/>
      <c r="K683" s="25"/>
      <c r="L683" s="23"/>
      <c r="M683" s="32"/>
    </row>
    <row r="684" spans="2:13" s="1" customFormat="1" x14ac:dyDescent="0.25">
      <c r="B684" s="77"/>
      <c r="D684" s="1" t="str">
        <f t="shared" si="28"/>
        <v/>
      </c>
      <c r="E684" s="20"/>
      <c r="K684" s="25"/>
      <c r="L684" s="23"/>
      <c r="M684" s="32"/>
    </row>
    <row r="685" spans="2:13" s="1" customFormat="1" x14ac:dyDescent="0.25">
      <c r="B685" s="77"/>
      <c r="D685" s="1" t="str">
        <f t="shared" si="28"/>
        <v/>
      </c>
      <c r="E685" s="20"/>
      <c r="K685" s="25"/>
      <c r="L685" s="23"/>
      <c r="M685" s="32"/>
    </row>
    <row r="686" spans="2:13" s="1" customFormat="1" x14ac:dyDescent="0.25">
      <c r="B686" s="77"/>
      <c r="D686" s="1" t="str">
        <f t="shared" si="28"/>
        <v/>
      </c>
      <c r="E686" s="20"/>
      <c r="K686" s="25"/>
      <c r="L686" s="23"/>
      <c r="M686" s="32"/>
    </row>
    <row r="687" spans="2:13" s="1" customFormat="1" x14ac:dyDescent="0.25">
      <c r="B687" s="77"/>
      <c r="D687" s="1" t="str">
        <f t="shared" si="28"/>
        <v/>
      </c>
      <c r="E687" s="20"/>
      <c r="K687" s="25"/>
      <c r="L687" s="23"/>
      <c r="M687" s="32"/>
    </row>
    <row r="688" spans="2:13" s="1" customFormat="1" x14ac:dyDescent="0.25">
      <c r="B688" s="77"/>
      <c r="D688" s="1" t="str">
        <f t="shared" si="28"/>
        <v/>
      </c>
      <c r="E688" s="20"/>
      <c r="K688" s="25"/>
      <c r="L688" s="23"/>
      <c r="M688" s="32"/>
    </row>
    <row r="689" spans="2:13" s="1" customFormat="1" x14ac:dyDescent="0.25">
      <c r="B689" s="77"/>
      <c r="D689" s="1" t="str">
        <f t="shared" si="28"/>
        <v/>
      </c>
      <c r="E689" s="20"/>
      <c r="K689" s="25"/>
      <c r="L689" s="23"/>
      <c r="M689" s="32"/>
    </row>
    <row r="690" spans="2:13" s="1" customFormat="1" x14ac:dyDescent="0.25">
      <c r="B690" s="77"/>
      <c r="D690" s="1" t="str">
        <f t="shared" si="28"/>
        <v/>
      </c>
      <c r="E690" s="20"/>
      <c r="K690" s="25"/>
      <c r="L690" s="23"/>
      <c r="M690" s="32"/>
    </row>
    <row r="691" spans="2:13" s="1" customFormat="1" x14ac:dyDescent="0.25">
      <c r="B691" s="77"/>
      <c r="D691" s="1" t="str">
        <f t="shared" si="28"/>
        <v/>
      </c>
      <c r="E691" s="20"/>
      <c r="K691" s="25"/>
      <c r="L691" s="23"/>
      <c r="M691" s="32"/>
    </row>
    <row r="692" spans="2:13" s="1" customFormat="1" x14ac:dyDescent="0.25">
      <c r="B692" s="77"/>
      <c r="D692" s="1" t="str">
        <f t="shared" si="28"/>
        <v/>
      </c>
      <c r="E692" s="20"/>
      <c r="K692" s="25"/>
      <c r="L692" s="23"/>
      <c r="M692" s="32"/>
    </row>
    <row r="693" spans="2:13" s="1" customFormat="1" x14ac:dyDescent="0.25">
      <c r="B693" s="77"/>
      <c r="D693" s="1" t="str">
        <f t="shared" si="28"/>
        <v/>
      </c>
      <c r="E693" s="20"/>
      <c r="K693" s="25"/>
      <c r="L693" s="23"/>
      <c r="M693" s="32"/>
    </row>
    <row r="694" spans="2:13" s="1" customFormat="1" x14ac:dyDescent="0.25">
      <c r="B694" s="77"/>
      <c r="D694" s="1" t="str">
        <f t="shared" si="28"/>
        <v/>
      </c>
      <c r="E694" s="20"/>
      <c r="K694" s="25"/>
      <c r="L694" s="23"/>
      <c r="M694" s="32"/>
    </row>
    <row r="695" spans="2:13" s="1" customFormat="1" x14ac:dyDescent="0.25">
      <c r="B695" s="77"/>
      <c r="D695" s="1" t="str">
        <f t="shared" si="28"/>
        <v/>
      </c>
      <c r="E695" s="20"/>
      <c r="K695" s="25"/>
      <c r="L695" s="23"/>
      <c r="M695" s="32"/>
    </row>
    <row r="696" spans="2:13" s="1" customFormat="1" x14ac:dyDescent="0.25">
      <c r="B696" s="77"/>
      <c r="D696" s="1" t="str">
        <f t="shared" si="28"/>
        <v/>
      </c>
      <c r="E696" s="20"/>
      <c r="K696" s="25"/>
      <c r="L696" s="23"/>
      <c r="M696" s="32"/>
    </row>
    <row r="697" spans="2:13" s="1" customFormat="1" x14ac:dyDescent="0.25">
      <c r="B697" s="77"/>
      <c r="D697" s="1" t="str">
        <f t="shared" si="28"/>
        <v/>
      </c>
      <c r="E697" s="20"/>
      <c r="K697" s="25"/>
      <c r="L697" s="23"/>
      <c r="M697" s="32"/>
    </row>
    <row r="698" spans="2:13" s="1" customFormat="1" x14ac:dyDescent="0.25">
      <c r="B698" s="77"/>
      <c r="D698" s="1" t="str">
        <f t="shared" si="28"/>
        <v/>
      </c>
      <c r="E698" s="20"/>
      <c r="K698" s="25"/>
      <c r="L698" s="23"/>
      <c r="M698" s="32"/>
    </row>
    <row r="699" spans="2:13" s="1" customFormat="1" x14ac:dyDescent="0.25">
      <c r="B699" s="77"/>
      <c r="D699" s="1" t="str">
        <f t="shared" si="28"/>
        <v/>
      </c>
      <c r="E699" s="20"/>
      <c r="K699" s="25"/>
      <c r="L699" s="23"/>
      <c r="M699" s="32"/>
    </row>
    <row r="700" spans="2:13" s="1" customFormat="1" x14ac:dyDescent="0.25">
      <c r="B700" s="77"/>
      <c r="D700" s="1" t="str">
        <f t="shared" si="28"/>
        <v/>
      </c>
      <c r="E700" s="20"/>
      <c r="K700" s="25"/>
      <c r="L700" s="23"/>
      <c r="M700" s="32"/>
    </row>
    <row r="701" spans="2:13" s="1" customFormat="1" x14ac:dyDescent="0.25">
      <c r="B701" s="77"/>
      <c r="D701" s="1" t="str">
        <f t="shared" si="28"/>
        <v/>
      </c>
      <c r="E701" s="20"/>
      <c r="K701" s="25"/>
      <c r="L701" s="23"/>
      <c r="M701" s="32"/>
    </row>
    <row r="702" spans="2:13" s="1" customFormat="1" x14ac:dyDescent="0.25">
      <c r="B702" s="77"/>
      <c r="D702" s="1" t="str">
        <f t="shared" si="28"/>
        <v/>
      </c>
      <c r="E702" s="20"/>
      <c r="K702" s="25"/>
      <c r="L702" s="23"/>
      <c r="M702" s="32"/>
    </row>
    <row r="703" spans="2:13" s="1" customFormat="1" x14ac:dyDescent="0.25">
      <c r="B703" s="77"/>
      <c r="D703" s="1" t="str">
        <f t="shared" si="28"/>
        <v/>
      </c>
      <c r="E703" s="20"/>
      <c r="K703" s="25"/>
      <c r="L703" s="23"/>
      <c r="M703" s="32"/>
    </row>
    <row r="704" spans="2:13" s="1" customFormat="1" x14ac:dyDescent="0.25">
      <c r="B704" s="77"/>
      <c r="D704" s="1" t="str">
        <f t="shared" si="28"/>
        <v/>
      </c>
      <c r="E704" s="20"/>
      <c r="K704" s="25"/>
      <c r="L704" s="23"/>
      <c r="M704" s="32"/>
    </row>
    <row r="705" spans="2:13" s="1" customFormat="1" x14ac:dyDescent="0.25">
      <c r="B705" s="77"/>
      <c r="D705" s="1" t="str">
        <f t="shared" si="28"/>
        <v/>
      </c>
      <c r="E705" s="20"/>
      <c r="K705" s="25"/>
      <c r="L705" s="23"/>
      <c r="M705" s="32"/>
    </row>
    <row r="706" spans="2:13" s="1" customFormat="1" x14ac:dyDescent="0.25">
      <c r="B706" s="77"/>
      <c r="D706" s="1" t="str">
        <f t="shared" si="28"/>
        <v/>
      </c>
      <c r="E706" s="20"/>
      <c r="K706" s="25"/>
      <c r="L706" s="23"/>
      <c r="M706" s="32"/>
    </row>
    <row r="707" spans="2:13" s="1" customFormat="1" x14ac:dyDescent="0.25">
      <c r="B707" s="77"/>
      <c r="D707" s="1" t="str">
        <f t="shared" si="28"/>
        <v/>
      </c>
      <c r="E707" s="20"/>
      <c r="K707" s="25"/>
      <c r="L707" s="23"/>
      <c r="M707" s="32"/>
    </row>
    <row r="708" spans="2:13" s="1" customFormat="1" x14ac:dyDescent="0.25">
      <c r="B708" s="77"/>
      <c r="D708" s="1" t="str">
        <f t="shared" si="28"/>
        <v/>
      </c>
      <c r="E708" s="20"/>
      <c r="K708" s="25"/>
      <c r="L708" s="23"/>
      <c r="M708" s="32"/>
    </row>
    <row r="709" spans="2:13" s="1" customFormat="1" x14ac:dyDescent="0.25">
      <c r="B709" s="77"/>
      <c r="D709" s="1" t="str">
        <f t="shared" si="28"/>
        <v/>
      </c>
      <c r="E709" s="20"/>
      <c r="K709" s="25"/>
      <c r="L709" s="23"/>
      <c r="M709" s="32"/>
    </row>
    <row r="710" spans="2:13" s="1" customFormat="1" x14ac:dyDescent="0.25">
      <c r="B710" s="77"/>
      <c r="D710" s="1" t="str">
        <f t="shared" si="28"/>
        <v/>
      </c>
      <c r="E710" s="20"/>
      <c r="K710" s="25"/>
      <c r="L710" s="23"/>
      <c r="M710" s="32"/>
    </row>
    <row r="711" spans="2:13" s="1" customFormat="1" x14ac:dyDescent="0.25">
      <c r="B711" s="77"/>
      <c r="D711" s="1" t="str">
        <f t="shared" si="28"/>
        <v/>
      </c>
      <c r="E711" s="20"/>
      <c r="K711" s="25"/>
      <c r="L711" s="23"/>
      <c r="M711" s="32"/>
    </row>
    <row r="712" spans="2:13" s="1" customFormat="1" x14ac:dyDescent="0.25">
      <c r="B712" s="77"/>
      <c r="D712" s="1" t="str">
        <f t="shared" ref="D712:D775" si="29">IF(F712&lt;&gt;"",RIGHT(F712, LEN(F712) - FIND(" - ", F712) - 2),"")</f>
        <v/>
      </c>
      <c r="E712" s="20"/>
      <c r="K712" s="25"/>
      <c r="L712" s="23"/>
      <c r="M712" s="32"/>
    </row>
    <row r="713" spans="2:13" s="1" customFormat="1" x14ac:dyDescent="0.25">
      <c r="B713" s="77"/>
      <c r="D713" s="1" t="str">
        <f t="shared" si="29"/>
        <v/>
      </c>
      <c r="E713" s="20"/>
      <c r="K713" s="25"/>
      <c r="L713" s="23"/>
      <c r="M713" s="32"/>
    </row>
    <row r="714" spans="2:13" s="1" customFormat="1" x14ac:dyDescent="0.25">
      <c r="B714" s="77"/>
      <c r="D714" s="1" t="str">
        <f t="shared" si="29"/>
        <v/>
      </c>
      <c r="E714" s="20"/>
      <c r="K714" s="25"/>
      <c r="L714" s="23"/>
      <c r="M714" s="32"/>
    </row>
    <row r="715" spans="2:13" s="1" customFormat="1" x14ac:dyDescent="0.25">
      <c r="B715" s="77"/>
      <c r="D715" s="1" t="str">
        <f t="shared" si="29"/>
        <v/>
      </c>
      <c r="E715" s="20"/>
      <c r="K715" s="25"/>
      <c r="L715" s="23"/>
      <c r="M715" s="32"/>
    </row>
    <row r="716" spans="2:13" s="1" customFormat="1" x14ac:dyDescent="0.25">
      <c r="B716" s="77"/>
      <c r="D716" s="1" t="str">
        <f t="shared" si="29"/>
        <v/>
      </c>
      <c r="E716" s="20"/>
      <c r="K716" s="25"/>
      <c r="L716" s="23"/>
      <c r="M716" s="32"/>
    </row>
    <row r="717" spans="2:13" s="1" customFormat="1" x14ac:dyDescent="0.25">
      <c r="B717" s="77"/>
      <c r="D717" s="1" t="str">
        <f t="shared" si="29"/>
        <v/>
      </c>
      <c r="E717" s="20"/>
      <c r="K717" s="25"/>
      <c r="L717" s="23"/>
      <c r="M717" s="32"/>
    </row>
    <row r="718" spans="2:13" s="1" customFormat="1" x14ac:dyDescent="0.25">
      <c r="B718" s="77"/>
      <c r="D718" s="1" t="str">
        <f t="shared" si="29"/>
        <v/>
      </c>
      <c r="E718" s="20"/>
      <c r="K718" s="25"/>
      <c r="L718" s="23"/>
      <c r="M718" s="32"/>
    </row>
    <row r="719" spans="2:13" s="1" customFormat="1" x14ac:dyDescent="0.25">
      <c r="B719" s="77"/>
      <c r="D719" s="1" t="str">
        <f t="shared" si="29"/>
        <v/>
      </c>
      <c r="E719" s="20"/>
      <c r="K719" s="25"/>
      <c r="L719" s="23"/>
      <c r="M719" s="32"/>
    </row>
    <row r="720" spans="2:13" s="1" customFormat="1" x14ac:dyDescent="0.25">
      <c r="B720" s="77"/>
      <c r="D720" s="1" t="str">
        <f t="shared" si="29"/>
        <v/>
      </c>
      <c r="E720" s="20"/>
      <c r="K720" s="25"/>
      <c r="L720" s="23"/>
      <c r="M720" s="32"/>
    </row>
    <row r="721" spans="2:13" s="1" customFormat="1" x14ac:dyDescent="0.25">
      <c r="B721" s="77"/>
      <c r="D721" s="1" t="str">
        <f t="shared" si="29"/>
        <v/>
      </c>
      <c r="E721" s="20"/>
      <c r="K721" s="25"/>
      <c r="L721" s="23"/>
      <c r="M721" s="32"/>
    </row>
    <row r="722" spans="2:13" s="1" customFormat="1" x14ac:dyDescent="0.25">
      <c r="B722" s="77"/>
      <c r="D722" s="1" t="str">
        <f t="shared" si="29"/>
        <v/>
      </c>
      <c r="E722" s="20"/>
      <c r="K722" s="25"/>
      <c r="L722" s="23"/>
      <c r="M722" s="32"/>
    </row>
    <row r="723" spans="2:13" s="1" customFormat="1" x14ac:dyDescent="0.25">
      <c r="B723" s="77"/>
      <c r="D723" s="1" t="str">
        <f t="shared" si="29"/>
        <v/>
      </c>
      <c r="E723" s="20"/>
      <c r="K723" s="25"/>
      <c r="L723" s="23"/>
      <c r="M723" s="32"/>
    </row>
    <row r="724" spans="2:13" s="1" customFormat="1" x14ac:dyDescent="0.25">
      <c r="B724" s="77"/>
      <c r="D724" s="1" t="str">
        <f t="shared" si="29"/>
        <v/>
      </c>
      <c r="E724" s="20"/>
      <c r="K724" s="25"/>
      <c r="L724" s="23"/>
      <c r="M724" s="32"/>
    </row>
    <row r="725" spans="2:13" s="1" customFormat="1" x14ac:dyDescent="0.25">
      <c r="B725" s="77"/>
      <c r="D725" s="1" t="str">
        <f t="shared" si="29"/>
        <v/>
      </c>
      <c r="E725" s="20"/>
      <c r="K725" s="25"/>
      <c r="L725" s="23"/>
      <c r="M725" s="32"/>
    </row>
    <row r="726" spans="2:13" s="1" customFormat="1" x14ac:dyDescent="0.25">
      <c r="B726" s="77"/>
      <c r="D726" s="1" t="str">
        <f t="shared" si="29"/>
        <v/>
      </c>
      <c r="E726" s="20"/>
      <c r="K726" s="25"/>
      <c r="L726" s="23"/>
      <c r="M726" s="32"/>
    </row>
    <row r="727" spans="2:13" s="1" customFormat="1" x14ac:dyDescent="0.25">
      <c r="B727" s="77"/>
      <c r="D727" s="1" t="str">
        <f t="shared" si="29"/>
        <v/>
      </c>
      <c r="E727" s="20"/>
      <c r="K727" s="25"/>
      <c r="L727" s="23"/>
      <c r="M727" s="32"/>
    </row>
    <row r="728" spans="2:13" s="1" customFormat="1" x14ac:dyDescent="0.25">
      <c r="B728" s="77"/>
      <c r="D728" s="1" t="str">
        <f t="shared" si="29"/>
        <v/>
      </c>
      <c r="E728" s="20"/>
      <c r="K728" s="25"/>
      <c r="L728" s="23"/>
      <c r="M728" s="32"/>
    </row>
    <row r="729" spans="2:13" s="1" customFormat="1" x14ac:dyDescent="0.25">
      <c r="B729" s="77"/>
      <c r="D729" s="1" t="str">
        <f t="shared" si="29"/>
        <v/>
      </c>
      <c r="E729" s="20"/>
      <c r="K729" s="25"/>
      <c r="L729" s="23"/>
      <c r="M729" s="32"/>
    </row>
    <row r="730" spans="2:13" s="1" customFormat="1" x14ac:dyDescent="0.25">
      <c r="B730" s="77"/>
      <c r="D730" s="1" t="str">
        <f t="shared" si="29"/>
        <v/>
      </c>
      <c r="E730" s="20"/>
      <c r="K730" s="25"/>
      <c r="L730" s="23"/>
      <c r="M730" s="32"/>
    </row>
    <row r="731" spans="2:13" s="1" customFormat="1" x14ac:dyDescent="0.25">
      <c r="B731" s="77"/>
      <c r="D731" s="1" t="str">
        <f t="shared" si="29"/>
        <v/>
      </c>
      <c r="E731" s="20"/>
      <c r="K731" s="25"/>
      <c r="L731" s="23"/>
      <c r="M731" s="32"/>
    </row>
    <row r="732" spans="2:13" s="1" customFormat="1" x14ac:dyDescent="0.25">
      <c r="B732" s="77"/>
      <c r="D732" s="1" t="str">
        <f t="shared" si="29"/>
        <v/>
      </c>
      <c r="E732" s="20"/>
      <c r="K732" s="25"/>
      <c r="L732" s="23"/>
      <c r="M732" s="32"/>
    </row>
    <row r="733" spans="2:13" s="1" customFormat="1" x14ac:dyDescent="0.25">
      <c r="B733" s="77"/>
      <c r="D733" s="1" t="str">
        <f t="shared" si="29"/>
        <v/>
      </c>
      <c r="E733" s="20"/>
      <c r="K733" s="25"/>
      <c r="L733" s="23"/>
      <c r="M733" s="32"/>
    </row>
    <row r="734" spans="2:13" s="1" customFormat="1" x14ac:dyDescent="0.25">
      <c r="B734" s="77"/>
      <c r="D734" s="1" t="str">
        <f t="shared" si="29"/>
        <v/>
      </c>
      <c r="E734" s="20"/>
      <c r="K734" s="25"/>
      <c r="L734" s="23"/>
      <c r="M734" s="32"/>
    </row>
    <row r="735" spans="2:13" s="1" customFormat="1" x14ac:dyDescent="0.25">
      <c r="B735" s="77"/>
      <c r="D735" s="1" t="str">
        <f t="shared" si="29"/>
        <v/>
      </c>
      <c r="E735" s="20"/>
      <c r="K735" s="25"/>
      <c r="L735" s="23"/>
      <c r="M735" s="32"/>
    </row>
    <row r="736" spans="2:13" s="1" customFormat="1" x14ac:dyDescent="0.25">
      <c r="B736" s="77"/>
      <c r="D736" s="1" t="str">
        <f t="shared" si="29"/>
        <v/>
      </c>
      <c r="E736" s="20"/>
      <c r="K736" s="25"/>
      <c r="L736" s="23"/>
      <c r="M736" s="32"/>
    </row>
    <row r="737" spans="2:13" s="1" customFormat="1" x14ac:dyDescent="0.25">
      <c r="B737" s="77"/>
      <c r="D737" s="1" t="str">
        <f t="shared" si="29"/>
        <v/>
      </c>
      <c r="E737" s="20"/>
      <c r="K737" s="25"/>
      <c r="L737" s="23"/>
      <c r="M737" s="32"/>
    </row>
    <row r="738" spans="2:13" s="1" customFormat="1" x14ac:dyDescent="0.25">
      <c r="B738" s="77"/>
      <c r="D738" s="1" t="str">
        <f t="shared" si="29"/>
        <v/>
      </c>
      <c r="E738" s="20"/>
      <c r="K738" s="25"/>
      <c r="L738" s="23"/>
      <c r="M738" s="32"/>
    </row>
    <row r="739" spans="2:13" s="1" customFormat="1" x14ac:dyDescent="0.25">
      <c r="B739" s="77"/>
      <c r="D739" s="1" t="str">
        <f t="shared" si="29"/>
        <v/>
      </c>
      <c r="E739" s="20"/>
      <c r="K739" s="25"/>
      <c r="L739" s="23"/>
      <c r="M739" s="32"/>
    </row>
    <row r="740" spans="2:13" s="1" customFormat="1" x14ac:dyDescent="0.25">
      <c r="B740" s="77"/>
      <c r="D740" s="1" t="str">
        <f t="shared" si="29"/>
        <v/>
      </c>
      <c r="E740" s="20"/>
      <c r="K740" s="25"/>
      <c r="L740" s="23"/>
      <c r="M740" s="32"/>
    </row>
    <row r="741" spans="2:13" s="1" customFormat="1" x14ac:dyDescent="0.25">
      <c r="B741" s="77"/>
      <c r="D741" s="1" t="str">
        <f t="shared" si="29"/>
        <v/>
      </c>
      <c r="E741" s="20"/>
      <c r="K741" s="25"/>
      <c r="L741" s="23"/>
      <c r="M741" s="32"/>
    </row>
    <row r="742" spans="2:13" s="1" customFormat="1" x14ac:dyDescent="0.25">
      <c r="B742" s="77"/>
      <c r="D742" s="1" t="str">
        <f t="shared" si="29"/>
        <v/>
      </c>
      <c r="E742" s="20"/>
      <c r="K742" s="25"/>
      <c r="L742" s="23"/>
      <c r="M742" s="32"/>
    </row>
    <row r="743" spans="2:13" s="1" customFormat="1" x14ac:dyDescent="0.25">
      <c r="B743" s="77"/>
      <c r="D743" s="1" t="str">
        <f t="shared" si="29"/>
        <v/>
      </c>
      <c r="E743" s="20"/>
      <c r="K743" s="25"/>
      <c r="L743" s="23"/>
      <c r="M743" s="32"/>
    </row>
    <row r="744" spans="2:13" s="1" customFormat="1" x14ac:dyDescent="0.25">
      <c r="B744" s="77"/>
      <c r="D744" s="1" t="str">
        <f t="shared" si="29"/>
        <v/>
      </c>
      <c r="E744" s="20"/>
      <c r="K744" s="25"/>
      <c r="L744" s="23"/>
      <c r="M744" s="32"/>
    </row>
    <row r="745" spans="2:13" s="1" customFormat="1" x14ac:dyDescent="0.25">
      <c r="B745" s="77"/>
      <c r="D745" s="1" t="str">
        <f t="shared" si="29"/>
        <v/>
      </c>
      <c r="E745" s="20"/>
      <c r="K745" s="25"/>
      <c r="L745" s="23"/>
      <c r="M745" s="32"/>
    </row>
    <row r="746" spans="2:13" s="1" customFormat="1" x14ac:dyDescent="0.25">
      <c r="B746" s="77"/>
      <c r="D746" s="1" t="str">
        <f t="shared" si="29"/>
        <v/>
      </c>
      <c r="E746" s="20"/>
      <c r="K746" s="25"/>
      <c r="L746" s="23"/>
      <c r="M746" s="32"/>
    </row>
    <row r="747" spans="2:13" s="1" customFormat="1" x14ac:dyDescent="0.25">
      <c r="B747" s="77"/>
      <c r="D747" s="1" t="str">
        <f t="shared" si="29"/>
        <v/>
      </c>
      <c r="E747" s="20"/>
      <c r="K747" s="25"/>
      <c r="L747" s="23"/>
      <c r="M747" s="32"/>
    </row>
    <row r="748" spans="2:13" s="1" customFormat="1" x14ac:dyDescent="0.25">
      <c r="B748" s="77"/>
      <c r="D748" s="1" t="str">
        <f t="shared" si="29"/>
        <v/>
      </c>
      <c r="E748" s="20"/>
      <c r="K748" s="25"/>
      <c r="L748" s="23"/>
      <c r="M748" s="32"/>
    </row>
    <row r="749" spans="2:13" s="1" customFormat="1" x14ac:dyDescent="0.25">
      <c r="B749" s="77"/>
      <c r="D749" s="1" t="str">
        <f t="shared" si="29"/>
        <v/>
      </c>
      <c r="E749" s="20"/>
      <c r="K749" s="25"/>
      <c r="L749" s="23"/>
      <c r="M749" s="32"/>
    </row>
    <row r="750" spans="2:13" s="1" customFormat="1" x14ac:dyDescent="0.25">
      <c r="B750" s="77"/>
      <c r="D750" s="1" t="str">
        <f t="shared" si="29"/>
        <v/>
      </c>
      <c r="E750" s="20"/>
      <c r="K750" s="25"/>
      <c r="L750" s="23"/>
      <c r="M750" s="32"/>
    </row>
    <row r="751" spans="2:13" s="1" customFormat="1" x14ac:dyDescent="0.25">
      <c r="B751" s="77"/>
      <c r="D751" s="1" t="str">
        <f t="shared" si="29"/>
        <v/>
      </c>
      <c r="E751" s="20"/>
      <c r="K751" s="25"/>
      <c r="L751" s="23"/>
      <c r="M751" s="32"/>
    </row>
    <row r="752" spans="2:13" s="1" customFormat="1" x14ac:dyDescent="0.25">
      <c r="B752" s="77"/>
      <c r="D752" s="1" t="str">
        <f t="shared" si="29"/>
        <v/>
      </c>
      <c r="E752" s="20"/>
      <c r="K752" s="25"/>
      <c r="L752" s="23"/>
      <c r="M752" s="32"/>
    </row>
    <row r="753" spans="2:13" s="1" customFormat="1" x14ac:dyDescent="0.25">
      <c r="B753" s="77"/>
      <c r="D753" s="1" t="str">
        <f t="shared" si="29"/>
        <v/>
      </c>
      <c r="E753" s="20"/>
      <c r="K753" s="25"/>
      <c r="L753" s="23"/>
      <c r="M753" s="32"/>
    </row>
    <row r="754" spans="2:13" s="1" customFormat="1" x14ac:dyDescent="0.25">
      <c r="B754" s="77"/>
      <c r="D754" s="1" t="str">
        <f t="shared" si="29"/>
        <v/>
      </c>
      <c r="E754" s="20"/>
      <c r="K754" s="25"/>
      <c r="L754" s="23"/>
      <c r="M754" s="32"/>
    </row>
    <row r="755" spans="2:13" s="1" customFormat="1" x14ac:dyDescent="0.25">
      <c r="B755" s="77"/>
      <c r="D755" s="1" t="str">
        <f t="shared" si="29"/>
        <v/>
      </c>
      <c r="E755" s="20"/>
      <c r="K755" s="25"/>
      <c r="L755" s="23"/>
      <c r="M755" s="32"/>
    </row>
    <row r="756" spans="2:13" s="1" customFormat="1" x14ac:dyDescent="0.25">
      <c r="B756" s="77"/>
      <c r="D756" s="1" t="str">
        <f t="shared" si="29"/>
        <v/>
      </c>
      <c r="E756" s="20"/>
      <c r="K756" s="25"/>
      <c r="L756" s="23"/>
      <c r="M756" s="32"/>
    </row>
    <row r="757" spans="2:13" s="1" customFormat="1" x14ac:dyDescent="0.25">
      <c r="B757" s="77"/>
      <c r="D757" s="1" t="str">
        <f t="shared" si="29"/>
        <v/>
      </c>
      <c r="E757" s="20"/>
      <c r="K757" s="25"/>
      <c r="L757" s="23"/>
      <c r="M757" s="32"/>
    </row>
    <row r="758" spans="2:13" s="1" customFormat="1" x14ac:dyDescent="0.25">
      <c r="B758" s="77"/>
      <c r="D758" s="1" t="str">
        <f t="shared" si="29"/>
        <v/>
      </c>
      <c r="E758" s="20"/>
      <c r="K758" s="25"/>
      <c r="L758" s="23"/>
      <c r="M758" s="32"/>
    </row>
    <row r="759" spans="2:13" s="1" customFormat="1" x14ac:dyDescent="0.25">
      <c r="B759" s="77"/>
      <c r="D759" s="1" t="str">
        <f t="shared" si="29"/>
        <v/>
      </c>
      <c r="E759" s="20"/>
      <c r="K759" s="25"/>
      <c r="L759" s="23"/>
      <c r="M759" s="32"/>
    </row>
    <row r="760" spans="2:13" s="1" customFormat="1" x14ac:dyDescent="0.25">
      <c r="B760" s="77"/>
      <c r="D760" s="1" t="str">
        <f t="shared" si="29"/>
        <v/>
      </c>
      <c r="E760" s="20"/>
      <c r="K760" s="25"/>
      <c r="L760" s="23"/>
      <c r="M760" s="32"/>
    </row>
    <row r="761" spans="2:13" s="1" customFormat="1" x14ac:dyDescent="0.25">
      <c r="B761" s="77"/>
      <c r="D761" s="1" t="str">
        <f t="shared" si="29"/>
        <v/>
      </c>
      <c r="E761" s="20"/>
      <c r="K761" s="25"/>
      <c r="L761" s="23"/>
      <c r="M761" s="32"/>
    </row>
    <row r="762" spans="2:13" s="1" customFormat="1" x14ac:dyDescent="0.25">
      <c r="B762" s="77"/>
      <c r="D762" s="1" t="str">
        <f t="shared" si="29"/>
        <v/>
      </c>
      <c r="E762" s="20"/>
      <c r="K762" s="25"/>
      <c r="L762" s="23"/>
      <c r="M762" s="32"/>
    </row>
    <row r="763" spans="2:13" s="1" customFormat="1" x14ac:dyDescent="0.25">
      <c r="B763" s="77"/>
      <c r="D763" s="1" t="str">
        <f t="shared" si="29"/>
        <v/>
      </c>
      <c r="E763" s="20"/>
      <c r="K763" s="25"/>
      <c r="L763" s="23"/>
      <c r="M763" s="32"/>
    </row>
    <row r="764" spans="2:13" s="1" customFormat="1" x14ac:dyDescent="0.25">
      <c r="B764" s="77"/>
      <c r="D764" s="1" t="str">
        <f t="shared" si="29"/>
        <v/>
      </c>
      <c r="E764" s="20"/>
      <c r="K764" s="25"/>
      <c r="L764" s="23"/>
      <c r="M764" s="32"/>
    </row>
    <row r="765" spans="2:13" s="1" customFormat="1" x14ac:dyDescent="0.25">
      <c r="B765" s="77"/>
      <c r="D765" s="1" t="str">
        <f t="shared" si="29"/>
        <v/>
      </c>
      <c r="E765" s="20"/>
      <c r="K765" s="25"/>
      <c r="L765" s="23"/>
      <c r="M765" s="32"/>
    </row>
    <row r="766" spans="2:13" s="1" customFormat="1" x14ac:dyDescent="0.25">
      <c r="B766" s="77"/>
      <c r="D766" s="1" t="str">
        <f t="shared" si="29"/>
        <v/>
      </c>
      <c r="E766" s="20"/>
      <c r="K766" s="25"/>
      <c r="L766" s="23"/>
      <c r="M766" s="32"/>
    </row>
    <row r="767" spans="2:13" s="1" customFormat="1" x14ac:dyDescent="0.25">
      <c r="B767" s="77"/>
      <c r="D767" s="1" t="str">
        <f t="shared" si="29"/>
        <v/>
      </c>
      <c r="E767" s="20"/>
      <c r="K767" s="25"/>
      <c r="L767" s="23"/>
      <c r="M767" s="32"/>
    </row>
    <row r="768" spans="2:13" s="1" customFormat="1" x14ac:dyDescent="0.25">
      <c r="B768" s="77"/>
      <c r="D768" s="1" t="str">
        <f t="shared" si="29"/>
        <v/>
      </c>
      <c r="E768" s="20"/>
      <c r="K768" s="25"/>
      <c r="L768" s="23"/>
      <c r="M768" s="32"/>
    </row>
    <row r="769" spans="2:13" s="1" customFormat="1" x14ac:dyDescent="0.25">
      <c r="B769" s="77"/>
      <c r="D769" s="1" t="str">
        <f t="shared" si="29"/>
        <v/>
      </c>
      <c r="E769" s="20"/>
      <c r="K769" s="25"/>
      <c r="L769" s="23"/>
      <c r="M769" s="32"/>
    </row>
    <row r="770" spans="2:13" s="1" customFormat="1" x14ac:dyDescent="0.25">
      <c r="B770" s="77"/>
      <c r="D770" s="1" t="str">
        <f t="shared" si="29"/>
        <v/>
      </c>
      <c r="E770" s="20"/>
      <c r="K770" s="25"/>
      <c r="L770" s="23"/>
      <c r="M770" s="32"/>
    </row>
    <row r="771" spans="2:13" s="1" customFormat="1" x14ac:dyDescent="0.25">
      <c r="B771" s="77"/>
      <c r="D771" s="1" t="str">
        <f t="shared" si="29"/>
        <v/>
      </c>
      <c r="E771" s="20"/>
      <c r="K771" s="25"/>
      <c r="L771" s="23"/>
      <c r="M771" s="32"/>
    </row>
    <row r="772" spans="2:13" s="1" customFormat="1" x14ac:dyDescent="0.25">
      <c r="B772" s="77"/>
      <c r="D772" s="1" t="str">
        <f t="shared" si="29"/>
        <v/>
      </c>
      <c r="E772" s="20"/>
      <c r="K772" s="25"/>
      <c r="L772" s="23"/>
      <c r="M772" s="32"/>
    </row>
    <row r="773" spans="2:13" s="1" customFormat="1" x14ac:dyDescent="0.25">
      <c r="B773" s="77"/>
      <c r="D773" s="1" t="str">
        <f t="shared" si="29"/>
        <v/>
      </c>
      <c r="E773" s="20"/>
      <c r="K773" s="25"/>
      <c r="L773" s="23"/>
      <c r="M773" s="32"/>
    </row>
    <row r="774" spans="2:13" s="1" customFormat="1" x14ac:dyDescent="0.25">
      <c r="B774" s="77"/>
      <c r="D774" s="1" t="str">
        <f t="shared" si="29"/>
        <v/>
      </c>
      <c r="E774" s="20"/>
      <c r="K774" s="25"/>
      <c r="L774" s="23"/>
      <c r="M774" s="32"/>
    </row>
    <row r="775" spans="2:13" s="1" customFormat="1" x14ac:dyDescent="0.25">
      <c r="B775" s="77"/>
      <c r="D775" s="1" t="str">
        <f t="shared" si="29"/>
        <v/>
      </c>
      <c r="E775" s="20"/>
      <c r="K775" s="25"/>
      <c r="L775" s="23"/>
      <c r="M775" s="32"/>
    </row>
    <row r="776" spans="2:13" s="1" customFormat="1" x14ac:dyDescent="0.25">
      <c r="B776" s="77"/>
      <c r="D776" s="1" t="str">
        <f t="shared" ref="D776:D839" si="30">IF(F776&lt;&gt;"",RIGHT(F776, LEN(F776) - FIND(" - ", F776) - 2),"")</f>
        <v/>
      </c>
      <c r="E776" s="20"/>
      <c r="K776" s="25"/>
      <c r="L776" s="23"/>
      <c r="M776" s="32"/>
    </row>
    <row r="777" spans="2:13" s="1" customFormat="1" x14ac:dyDescent="0.25">
      <c r="B777" s="77"/>
      <c r="D777" s="1" t="str">
        <f t="shared" si="30"/>
        <v/>
      </c>
      <c r="E777" s="20"/>
      <c r="K777" s="25"/>
      <c r="L777" s="23"/>
      <c r="M777" s="32"/>
    </row>
    <row r="778" spans="2:13" s="1" customFormat="1" x14ac:dyDescent="0.25">
      <c r="B778" s="77"/>
      <c r="D778" s="1" t="str">
        <f t="shared" si="30"/>
        <v/>
      </c>
      <c r="E778" s="20"/>
      <c r="K778" s="25"/>
      <c r="L778" s="23"/>
      <c r="M778" s="32"/>
    </row>
    <row r="779" spans="2:13" s="1" customFormat="1" x14ac:dyDescent="0.25">
      <c r="B779" s="77"/>
      <c r="D779" s="1" t="str">
        <f t="shared" si="30"/>
        <v/>
      </c>
      <c r="E779" s="20"/>
      <c r="K779" s="25"/>
      <c r="L779" s="23"/>
      <c r="M779" s="32"/>
    </row>
    <row r="780" spans="2:13" s="1" customFormat="1" x14ac:dyDescent="0.25">
      <c r="B780" s="77"/>
      <c r="D780" s="1" t="str">
        <f t="shared" si="30"/>
        <v/>
      </c>
      <c r="E780" s="20"/>
      <c r="K780" s="25"/>
      <c r="L780" s="23"/>
      <c r="M780" s="32"/>
    </row>
    <row r="781" spans="2:13" s="1" customFormat="1" x14ac:dyDescent="0.25">
      <c r="B781" s="77"/>
      <c r="D781" s="1" t="str">
        <f t="shared" si="30"/>
        <v/>
      </c>
      <c r="E781" s="20"/>
      <c r="K781" s="25"/>
      <c r="L781" s="23"/>
      <c r="M781" s="32"/>
    </row>
    <row r="782" spans="2:13" s="1" customFormat="1" x14ac:dyDescent="0.25">
      <c r="B782" s="77"/>
      <c r="D782" s="1" t="str">
        <f t="shared" si="30"/>
        <v/>
      </c>
      <c r="E782" s="20"/>
      <c r="K782" s="25"/>
      <c r="L782" s="23"/>
      <c r="M782" s="32"/>
    </row>
    <row r="783" spans="2:13" s="1" customFormat="1" x14ac:dyDescent="0.25">
      <c r="B783" s="77"/>
      <c r="D783" s="1" t="str">
        <f t="shared" si="30"/>
        <v/>
      </c>
      <c r="E783" s="20"/>
      <c r="K783" s="25"/>
      <c r="L783" s="23"/>
      <c r="M783" s="32"/>
    </row>
    <row r="784" spans="2:13" s="1" customFormat="1" x14ac:dyDescent="0.25">
      <c r="B784" s="77"/>
      <c r="D784" s="1" t="str">
        <f t="shared" si="30"/>
        <v/>
      </c>
      <c r="E784" s="20"/>
      <c r="K784" s="25"/>
      <c r="L784" s="23"/>
      <c r="M784" s="32"/>
    </row>
    <row r="785" spans="2:13" s="1" customFormat="1" x14ac:dyDescent="0.25">
      <c r="B785" s="77"/>
      <c r="D785" s="1" t="str">
        <f t="shared" si="30"/>
        <v/>
      </c>
      <c r="E785" s="20"/>
      <c r="K785" s="25"/>
      <c r="L785" s="23"/>
      <c r="M785" s="32"/>
    </row>
    <row r="786" spans="2:13" s="1" customFormat="1" x14ac:dyDescent="0.25">
      <c r="B786" s="77"/>
      <c r="D786" s="1" t="str">
        <f t="shared" si="30"/>
        <v/>
      </c>
      <c r="E786" s="20"/>
      <c r="K786" s="25"/>
      <c r="L786" s="23"/>
      <c r="M786" s="32"/>
    </row>
    <row r="787" spans="2:13" s="1" customFormat="1" x14ac:dyDescent="0.25">
      <c r="B787" s="77"/>
      <c r="D787" s="1" t="str">
        <f t="shared" si="30"/>
        <v/>
      </c>
      <c r="E787" s="20"/>
      <c r="K787" s="25"/>
      <c r="L787" s="23"/>
      <c r="M787" s="32"/>
    </row>
    <row r="788" spans="2:13" s="1" customFormat="1" x14ac:dyDescent="0.25">
      <c r="B788" s="77"/>
      <c r="D788" s="1" t="str">
        <f t="shared" si="30"/>
        <v/>
      </c>
      <c r="E788" s="20"/>
      <c r="K788" s="25"/>
      <c r="L788" s="23"/>
      <c r="M788" s="32"/>
    </row>
    <row r="789" spans="2:13" s="1" customFormat="1" x14ac:dyDescent="0.25">
      <c r="B789" s="77"/>
      <c r="D789" s="1" t="str">
        <f t="shared" si="30"/>
        <v/>
      </c>
      <c r="E789" s="20"/>
      <c r="K789" s="25"/>
      <c r="L789" s="23"/>
      <c r="M789" s="32"/>
    </row>
    <row r="790" spans="2:13" s="1" customFormat="1" x14ac:dyDescent="0.25">
      <c r="B790" s="77"/>
      <c r="D790" s="1" t="str">
        <f t="shared" si="30"/>
        <v/>
      </c>
      <c r="E790" s="20"/>
      <c r="K790" s="25"/>
      <c r="L790" s="23"/>
      <c r="M790" s="32"/>
    </row>
    <row r="791" spans="2:13" s="1" customFormat="1" x14ac:dyDescent="0.25">
      <c r="B791" s="77"/>
      <c r="D791" s="1" t="str">
        <f t="shared" si="30"/>
        <v/>
      </c>
      <c r="E791" s="20"/>
      <c r="K791" s="25"/>
      <c r="L791" s="23"/>
      <c r="M791" s="32"/>
    </row>
    <row r="792" spans="2:13" s="1" customFormat="1" x14ac:dyDescent="0.25">
      <c r="B792" s="77"/>
      <c r="D792" s="1" t="str">
        <f t="shared" si="30"/>
        <v/>
      </c>
      <c r="E792" s="20"/>
      <c r="K792" s="25"/>
      <c r="L792" s="23"/>
      <c r="M792" s="32"/>
    </row>
    <row r="793" spans="2:13" s="1" customFormat="1" x14ac:dyDescent="0.25">
      <c r="B793" s="77"/>
      <c r="D793" s="1" t="str">
        <f t="shared" si="30"/>
        <v/>
      </c>
      <c r="E793" s="20"/>
      <c r="K793" s="25"/>
      <c r="L793" s="23"/>
      <c r="M793" s="32"/>
    </row>
    <row r="794" spans="2:13" s="1" customFormat="1" x14ac:dyDescent="0.25">
      <c r="B794" s="77"/>
      <c r="D794" s="1" t="str">
        <f t="shared" si="30"/>
        <v/>
      </c>
      <c r="E794" s="20"/>
      <c r="K794" s="25"/>
      <c r="L794" s="23"/>
      <c r="M794" s="32"/>
    </row>
    <row r="795" spans="2:13" s="1" customFormat="1" x14ac:dyDescent="0.25">
      <c r="B795" s="77"/>
      <c r="D795" s="1" t="str">
        <f t="shared" si="30"/>
        <v/>
      </c>
      <c r="E795" s="20"/>
      <c r="K795" s="25"/>
      <c r="L795" s="23"/>
      <c r="M795" s="32"/>
    </row>
    <row r="796" spans="2:13" s="1" customFormat="1" x14ac:dyDescent="0.25">
      <c r="B796" s="77"/>
      <c r="D796" s="1" t="str">
        <f t="shared" si="30"/>
        <v/>
      </c>
      <c r="E796" s="20"/>
      <c r="K796" s="25"/>
      <c r="L796" s="23"/>
      <c r="M796" s="32"/>
    </row>
    <row r="797" spans="2:13" s="1" customFormat="1" x14ac:dyDescent="0.25">
      <c r="B797" s="77"/>
      <c r="D797" s="1" t="str">
        <f t="shared" si="30"/>
        <v/>
      </c>
      <c r="E797" s="20"/>
      <c r="K797" s="25"/>
      <c r="L797" s="23"/>
      <c r="M797" s="32"/>
    </row>
    <row r="798" spans="2:13" s="1" customFormat="1" x14ac:dyDescent="0.25">
      <c r="B798" s="77"/>
      <c r="D798" s="1" t="str">
        <f t="shared" si="30"/>
        <v/>
      </c>
      <c r="E798" s="20"/>
      <c r="K798" s="25"/>
      <c r="L798" s="23"/>
      <c r="M798" s="32"/>
    </row>
    <row r="799" spans="2:13" s="1" customFormat="1" x14ac:dyDescent="0.25">
      <c r="B799" s="77"/>
      <c r="D799" s="1" t="str">
        <f t="shared" si="30"/>
        <v/>
      </c>
      <c r="E799" s="20"/>
      <c r="K799" s="25"/>
      <c r="L799" s="23"/>
      <c r="M799" s="32"/>
    </row>
    <row r="800" spans="2:13" s="1" customFormat="1" x14ac:dyDescent="0.25">
      <c r="B800" s="77"/>
      <c r="D800" s="1" t="str">
        <f t="shared" si="30"/>
        <v/>
      </c>
      <c r="E800" s="20"/>
      <c r="K800" s="25"/>
      <c r="L800" s="23"/>
      <c r="M800" s="32"/>
    </row>
    <row r="801" spans="2:13" s="1" customFormat="1" x14ac:dyDescent="0.25">
      <c r="B801" s="77"/>
      <c r="D801" s="1" t="str">
        <f t="shared" si="30"/>
        <v/>
      </c>
      <c r="E801" s="20"/>
      <c r="K801" s="25"/>
      <c r="L801" s="23"/>
      <c r="M801" s="32"/>
    </row>
    <row r="802" spans="2:13" s="1" customFormat="1" x14ac:dyDescent="0.25">
      <c r="B802" s="77"/>
      <c r="D802" s="1" t="str">
        <f t="shared" si="30"/>
        <v/>
      </c>
      <c r="E802" s="20"/>
      <c r="K802" s="25"/>
      <c r="L802" s="23"/>
      <c r="M802" s="32"/>
    </row>
    <row r="803" spans="2:13" s="1" customFormat="1" x14ac:dyDescent="0.25">
      <c r="B803" s="77"/>
      <c r="D803" s="1" t="str">
        <f t="shared" si="30"/>
        <v/>
      </c>
      <c r="E803" s="20"/>
      <c r="K803" s="25"/>
      <c r="L803" s="23"/>
      <c r="M803" s="32"/>
    </row>
    <row r="804" spans="2:13" s="1" customFormat="1" x14ac:dyDescent="0.25">
      <c r="B804" s="77"/>
      <c r="D804" s="1" t="str">
        <f t="shared" si="30"/>
        <v/>
      </c>
      <c r="E804" s="20"/>
      <c r="K804" s="25"/>
      <c r="L804" s="23"/>
      <c r="M804" s="32"/>
    </row>
    <row r="805" spans="2:13" s="1" customFormat="1" x14ac:dyDescent="0.25">
      <c r="B805" s="77"/>
      <c r="D805" s="1" t="str">
        <f t="shared" si="30"/>
        <v/>
      </c>
      <c r="E805" s="20"/>
      <c r="K805" s="25"/>
      <c r="L805" s="23"/>
      <c r="M805" s="32"/>
    </row>
    <row r="806" spans="2:13" s="1" customFormat="1" x14ac:dyDescent="0.25">
      <c r="B806" s="77"/>
      <c r="D806" s="1" t="str">
        <f t="shared" si="30"/>
        <v/>
      </c>
      <c r="E806" s="20"/>
      <c r="K806" s="25"/>
      <c r="L806" s="23"/>
      <c r="M806" s="32"/>
    </row>
    <row r="807" spans="2:13" s="1" customFormat="1" x14ac:dyDescent="0.25">
      <c r="B807" s="77"/>
      <c r="D807" s="1" t="str">
        <f t="shared" si="30"/>
        <v/>
      </c>
      <c r="E807" s="20"/>
      <c r="K807" s="25"/>
      <c r="L807" s="23"/>
      <c r="M807" s="32"/>
    </row>
    <row r="808" spans="2:13" s="1" customFormat="1" x14ac:dyDescent="0.25">
      <c r="B808" s="77"/>
      <c r="D808" s="1" t="str">
        <f t="shared" si="30"/>
        <v/>
      </c>
      <c r="E808" s="20"/>
      <c r="K808" s="25"/>
      <c r="L808" s="23"/>
      <c r="M808" s="32"/>
    </row>
    <row r="809" spans="2:13" s="1" customFormat="1" x14ac:dyDescent="0.25">
      <c r="B809" s="77"/>
      <c r="D809" s="1" t="str">
        <f t="shared" si="30"/>
        <v/>
      </c>
      <c r="E809" s="20"/>
      <c r="K809" s="25"/>
      <c r="L809" s="23"/>
      <c r="M809" s="32"/>
    </row>
    <row r="810" spans="2:13" s="1" customFormat="1" x14ac:dyDescent="0.25">
      <c r="B810" s="77"/>
      <c r="D810" s="1" t="str">
        <f t="shared" si="30"/>
        <v/>
      </c>
      <c r="E810" s="20"/>
      <c r="K810" s="25"/>
      <c r="L810" s="23"/>
      <c r="M810" s="32"/>
    </row>
    <row r="811" spans="2:13" s="1" customFormat="1" x14ac:dyDescent="0.25">
      <c r="B811" s="77"/>
      <c r="D811" s="1" t="str">
        <f t="shared" si="30"/>
        <v/>
      </c>
      <c r="E811" s="20"/>
      <c r="K811" s="25"/>
      <c r="L811" s="23"/>
      <c r="M811" s="32"/>
    </row>
    <row r="812" spans="2:13" s="1" customFormat="1" x14ac:dyDescent="0.25">
      <c r="B812" s="77"/>
      <c r="D812" s="1" t="str">
        <f t="shared" si="30"/>
        <v/>
      </c>
      <c r="E812" s="20"/>
      <c r="K812" s="25"/>
      <c r="L812" s="23"/>
      <c r="M812" s="32"/>
    </row>
    <row r="813" spans="2:13" s="1" customFormat="1" x14ac:dyDescent="0.25">
      <c r="B813" s="77"/>
      <c r="D813" s="1" t="str">
        <f t="shared" si="30"/>
        <v/>
      </c>
      <c r="E813" s="20"/>
      <c r="K813" s="25"/>
      <c r="L813" s="23"/>
      <c r="M813" s="32"/>
    </row>
    <row r="814" spans="2:13" s="1" customFormat="1" x14ac:dyDescent="0.25">
      <c r="B814" s="77"/>
      <c r="D814" s="1" t="str">
        <f t="shared" si="30"/>
        <v/>
      </c>
      <c r="E814" s="20"/>
      <c r="K814" s="25"/>
      <c r="L814" s="23"/>
      <c r="M814" s="32"/>
    </row>
    <row r="815" spans="2:13" s="1" customFormat="1" x14ac:dyDescent="0.25">
      <c r="B815" s="77"/>
      <c r="D815" s="1" t="str">
        <f t="shared" si="30"/>
        <v/>
      </c>
      <c r="E815" s="20"/>
      <c r="K815" s="25"/>
      <c r="L815" s="23"/>
      <c r="M815" s="32"/>
    </row>
    <row r="816" spans="2:13" s="1" customFormat="1" x14ac:dyDescent="0.25">
      <c r="B816" s="77"/>
      <c r="D816" s="1" t="str">
        <f t="shared" si="30"/>
        <v/>
      </c>
      <c r="E816" s="20"/>
      <c r="K816" s="25"/>
      <c r="L816" s="23"/>
      <c r="M816" s="32"/>
    </row>
    <row r="817" spans="2:13" s="1" customFormat="1" x14ac:dyDescent="0.25">
      <c r="B817" s="77"/>
      <c r="D817" s="1" t="str">
        <f t="shared" si="30"/>
        <v/>
      </c>
      <c r="E817" s="20"/>
      <c r="K817" s="25"/>
      <c r="L817" s="23"/>
      <c r="M817" s="32"/>
    </row>
    <row r="818" spans="2:13" s="1" customFormat="1" x14ac:dyDescent="0.25">
      <c r="B818" s="77"/>
      <c r="D818" s="1" t="str">
        <f t="shared" si="30"/>
        <v/>
      </c>
      <c r="E818" s="20"/>
      <c r="K818" s="25"/>
      <c r="L818" s="23"/>
      <c r="M818" s="32"/>
    </row>
    <row r="819" spans="2:13" s="1" customFormat="1" x14ac:dyDescent="0.25">
      <c r="B819" s="77"/>
      <c r="D819" s="1" t="str">
        <f t="shared" si="30"/>
        <v/>
      </c>
      <c r="E819" s="20"/>
      <c r="K819" s="25"/>
      <c r="L819" s="23"/>
      <c r="M819" s="32"/>
    </row>
    <row r="820" spans="2:13" s="1" customFormat="1" x14ac:dyDescent="0.25">
      <c r="B820" s="77"/>
      <c r="D820" s="1" t="str">
        <f t="shared" si="30"/>
        <v/>
      </c>
      <c r="E820" s="20"/>
      <c r="K820" s="25"/>
      <c r="L820" s="23"/>
      <c r="M820" s="32"/>
    </row>
    <row r="821" spans="2:13" s="1" customFormat="1" x14ac:dyDescent="0.25">
      <c r="B821" s="77"/>
      <c r="D821" s="1" t="str">
        <f t="shared" si="30"/>
        <v/>
      </c>
      <c r="E821" s="20"/>
      <c r="K821" s="25"/>
      <c r="L821" s="23"/>
      <c r="M821" s="32"/>
    </row>
    <row r="822" spans="2:13" s="1" customFormat="1" x14ac:dyDescent="0.25">
      <c r="B822" s="77"/>
      <c r="D822" s="1" t="str">
        <f t="shared" si="30"/>
        <v/>
      </c>
      <c r="E822" s="20"/>
      <c r="K822" s="25"/>
      <c r="L822" s="23"/>
      <c r="M822" s="32"/>
    </row>
    <row r="823" spans="2:13" s="1" customFormat="1" x14ac:dyDescent="0.25">
      <c r="B823" s="77"/>
      <c r="D823" s="1" t="str">
        <f t="shared" si="30"/>
        <v/>
      </c>
      <c r="E823" s="20"/>
      <c r="K823" s="25"/>
      <c r="L823" s="23"/>
      <c r="M823" s="32"/>
    </row>
    <row r="824" spans="2:13" s="1" customFormat="1" x14ac:dyDescent="0.25">
      <c r="B824" s="77"/>
      <c r="D824" s="1" t="str">
        <f t="shared" si="30"/>
        <v/>
      </c>
      <c r="E824" s="20"/>
      <c r="K824" s="25"/>
      <c r="L824" s="23"/>
      <c r="M824" s="32"/>
    </row>
    <row r="825" spans="2:13" s="1" customFormat="1" x14ac:dyDescent="0.25">
      <c r="B825" s="77"/>
      <c r="D825" s="1" t="str">
        <f t="shared" si="30"/>
        <v/>
      </c>
      <c r="E825" s="20"/>
      <c r="K825" s="25"/>
      <c r="L825" s="23"/>
      <c r="M825" s="32"/>
    </row>
    <row r="826" spans="2:13" s="1" customFormat="1" x14ac:dyDescent="0.25">
      <c r="B826" s="77"/>
      <c r="D826" s="1" t="str">
        <f t="shared" si="30"/>
        <v/>
      </c>
      <c r="E826" s="20"/>
      <c r="K826" s="25"/>
      <c r="L826" s="23"/>
      <c r="M826" s="32"/>
    </row>
    <row r="827" spans="2:13" s="1" customFormat="1" x14ac:dyDescent="0.25">
      <c r="B827" s="77"/>
      <c r="D827" s="1" t="str">
        <f t="shared" si="30"/>
        <v/>
      </c>
      <c r="E827" s="20"/>
      <c r="K827" s="25"/>
      <c r="L827" s="23"/>
      <c r="M827" s="32"/>
    </row>
    <row r="828" spans="2:13" s="1" customFormat="1" x14ac:dyDescent="0.25">
      <c r="B828" s="77"/>
      <c r="D828" s="1" t="str">
        <f t="shared" si="30"/>
        <v/>
      </c>
      <c r="E828" s="20"/>
      <c r="K828" s="25"/>
      <c r="L828" s="23"/>
      <c r="M828" s="32"/>
    </row>
    <row r="829" spans="2:13" s="1" customFormat="1" x14ac:dyDescent="0.25">
      <c r="B829" s="77"/>
      <c r="D829" s="1" t="str">
        <f t="shared" si="30"/>
        <v/>
      </c>
      <c r="E829" s="20"/>
      <c r="K829" s="25"/>
      <c r="L829" s="23"/>
      <c r="M829" s="32"/>
    </row>
    <row r="830" spans="2:13" s="1" customFormat="1" x14ac:dyDescent="0.25">
      <c r="B830" s="77"/>
      <c r="D830" s="1" t="str">
        <f t="shared" si="30"/>
        <v/>
      </c>
      <c r="E830" s="20"/>
      <c r="K830" s="25"/>
      <c r="L830" s="23"/>
      <c r="M830" s="32"/>
    </row>
    <row r="831" spans="2:13" s="1" customFormat="1" x14ac:dyDescent="0.25">
      <c r="B831" s="77"/>
      <c r="D831" s="1" t="str">
        <f t="shared" si="30"/>
        <v/>
      </c>
      <c r="E831" s="20"/>
      <c r="K831" s="25"/>
      <c r="L831" s="23"/>
      <c r="M831" s="32"/>
    </row>
    <row r="832" spans="2:13" s="1" customFormat="1" x14ac:dyDescent="0.25">
      <c r="B832" s="77"/>
      <c r="D832" s="1" t="str">
        <f t="shared" si="30"/>
        <v/>
      </c>
      <c r="E832" s="20"/>
      <c r="K832" s="25"/>
      <c r="L832" s="23"/>
      <c r="M832" s="32"/>
    </row>
    <row r="833" spans="2:13" s="1" customFormat="1" x14ac:dyDescent="0.25">
      <c r="B833" s="77"/>
      <c r="D833" s="1" t="str">
        <f t="shared" si="30"/>
        <v/>
      </c>
      <c r="E833" s="20"/>
      <c r="K833" s="25"/>
      <c r="L833" s="23"/>
      <c r="M833" s="32"/>
    </row>
    <row r="834" spans="2:13" s="1" customFormat="1" x14ac:dyDescent="0.25">
      <c r="B834" s="77"/>
      <c r="D834" s="1" t="str">
        <f t="shared" si="30"/>
        <v/>
      </c>
      <c r="E834" s="20"/>
      <c r="K834" s="25"/>
      <c r="L834" s="23"/>
      <c r="M834" s="32"/>
    </row>
    <row r="835" spans="2:13" s="1" customFormat="1" x14ac:dyDescent="0.25">
      <c r="B835" s="77"/>
      <c r="D835" s="1" t="str">
        <f t="shared" si="30"/>
        <v/>
      </c>
      <c r="E835" s="20"/>
      <c r="K835" s="25"/>
      <c r="L835" s="23"/>
      <c r="M835" s="32"/>
    </row>
    <row r="836" spans="2:13" s="1" customFormat="1" x14ac:dyDescent="0.25">
      <c r="B836" s="77"/>
      <c r="D836" s="1" t="str">
        <f t="shared" si="30"/>
        <v/>
      </c>
      <c r="E836" s="20"/>
      <c r="K836" s="25"/>
      <c r="L836" s="23"/>
      <c r="M836" s="32"/>
    </row>
    <row r="837" spans="2:13" s="1" customFormat="1" x14ac:dyDescent="0.25">
      <c r="B837" s="77"/>
      <c r="D837" s="1" t="str">
        <f t="shared" si="30"/>
        <v/>
      </c>
      <c r="E837" s="20"/>
      <c r="K837" s="25"/>
      <c r="L837" s="23"/>
      <c r="M837" s="32"/>
    </row>
    <row r="838" spans="2:13" s="1" customFormat="1" x14ac:dyDescent="0.25">
      <c r="B838" s="77"/>
      <c r="D838" s="1" t="str">
        <f t="shared" si="30"/>
        <v/>
      </c>
      <c r="E838" s="20"/>
      <c r="K838" s="25"/>
      <c r="L838" s="23"/>
      <c r="M838" s="32"/>
    </row>
    <row r="839" spans="2:13" s="1" customFormat="1" x14ac:dyDescent="0.25">
      <c r="B839" s="77"/>
      <c r="D839" s="1" t="str">
        <f t="shared" si="30"/>
        <v/>
      </c>
      <c r="E839" s="20"/>
      <c r="K839" s="25"/>
      <c r="L839" s="23"/>
      <c r="M839" s="32"/>
    </row>
    <row r="840" spans="2:13" s="1" customFormat="1" x14ac:dyDescent="0.25">
      <c r="B840" s="77"/>
      <c r="D840" s="1" t="str">
        <f t="shared" ref="D840:D903" si="31">IF(F840&lt;&gt;"",RIGHT(F840, LEN(F840) - FIND(" - ", F840) - 2),"")</f>
        <v/>
      </c>
      <c r="E840" s="20"/>
      <c r="K840" s="25"/>
      <c r="L840" s="23"/>
      <c r="M840" s="32"/>
    </row>
    <row r="841" spans="2:13" s="1" customFormat="1" x14ac:dyDescent="0.25">
      <c r="B841" s="77"/>
      <c r="D841" s="1" t="str">
        <f t="shared" si="31"/>
        <v/>
      </c>
      <c r="E841" s="20"/>
      <c r="K841" s="25"/>
      <c r="L841" s="23"/>
      <c r="M841" s="32"/>
    </row>
    <row r="842" spans="2:13" s="1" customFormat="1" x14ac:dyDescent="0.25">
      <c r="B842" s="77"/>
      <c r="D842" s="1" t="str">
        <f t="shared" si="31"/>
        <v/>
      </c>
      <c r="E842" s="20"/>
      <c r="K842" s="25"/>
      <c r="L842" s="23"/>
      <c r="M842" s="32"/>
    </row>
    <row r="843" spans="2:13" s="1" customFormat="1" x14ac:dyDescent="0.25">
      <c r="B843" s="77"/>
      <c r="D843" s="1" t="str">
        <f t="shared" si="31"/>
        <v/>
      </c>
      <c r="E843" s="20"/>
      <c r="K843" s="25"/>
      <c r="L843" s="23"/>
      <c r="M843" s="32"/>
    </row>
    <row r="844" spans="2:13" s="1" customFormat="1" x14ac:dyDescent="0.25">
      <c r="B844" s="77"/>
      <c r="D844" s="1" t="str">
        <f t="shared" si="31"/>
        <v/>
      </c>
      <c r="E844" s="20"/>
      <c r="K844" s="25"/>
      <c r="L844" s="23"/>
      <c r="M844" s="32"/>
    </row>
    <row r="845" spans="2:13" s="1" customFormat="1" x14ac:dyDescent="0.25">
      <c r="B845" s="77"/>
      <c r="D845" s="1" t="str">
        <f t="shared" si="31"/>
        <v/>
      </c>
      <c r="E845" s="20"/>
      <c r="K845" s="25"/>
      <c r="L845" s="23"/>
      <c r="M845" s="32"/>
    </row>
    <row r="846" spans="2:13" s="1" customFormat="1" x14ac:dyDescent="0.25">
      <c r="B846" s="77"/>
      <c r="D846" s="1" t="str">
        <f t="shared" si="31"/>
        <v/>
      </c>
      <c r="E846" s="20"/>
      <c r="K846" s="25"/>
      <c r="L846" s="23"/>
      <c r="M846" s="32"/>
    </row>
    <row r="847" spans="2:13" s="1" customFormat="1" x14ac:dyDescent="0.25">
      <c r="B847" s="77"/>
      <c r="D847" s="1" t="str">
        <f t="shared" si="31"/>
        <v/>
      </c>
      <c r="E847" s="20"/>
      <c r="K847" s="25"/>
      <c r="L847" s="23"/>
      <c r="M847" s="32"/>
    </row>
    <row r="848" spans="2:13" s="1" customFormat="1" x14ac:dyDescent="0.25">
      <c r="B848" s="77"/>
      <c r="D848" s="1" t="str">
        <f t="shared" si="31"/>
        <v/>
      </c>
      <c r="E848" s="20"/>
      <c r="K848" s="25"/>
      <c r="L848" s="23"/>
      <c r="M848" s="32"/>
    </row>
    <row r="849" spans="2:13" s="1" customFormat="1" x14ac:dyDescent="0.25">
      <c r="B849" s="77"/>
      <c r="D849" s="1" t="str">
        <f t="shared" si="31"/>
        <v/>
      </c>
      <c r="E849" s="20"/>
      <c r="K849" s="25"/>
      <c r="L849" s="23"/>
      <c r="M849" s="32"/>
    </row>
    <row r="850" spans="2:13" s="1" customFormat="1" x14ac:dyDescent="0.25">
      <c r="B850" s="77"/>
      <c r="D850" s="1" t="str">
        <f t="shared" si="31"/>
        <v/>
      </c>
      <c r="E850" s="20"/>
      <c r="K850" s="25"/>
      <c r="L850" s="23"/>
      <c r="M850" s="32"/>
    </row>
    <row r="851" spans="2:13" s="1" customFormat="1" x14ac:dyDescent="0.25">
      <c r="B851" s="77"/>
      <c r="D851" s="1" t="str">
        <f t="shared" si="31"/>
        <v/>
      </c>
      <c r="E851" s="20"/>
      <c r="K851" s="25"/>
      <c r="L851" s="23"/>
      <c r="M851" s="32"/>
    </row>
    <row r="852" spans="2:13" s="1" customFormat="1" x14ac:dyDescent="0.25">
      <c r="B852" s="77"/>
      <c r="D852" s="1" t="str">
        <f t="shared" si="31"/>
        <v/>
      </c>
      <c r="E852" s="20"/>
      <c r="K852" s="25"/>
      <c r="L852" s="23"/>
      <c r="M852" s="32"/>
    </row>
    <row r="853" spans="2:13" s="1" customFormat="1" x14ac:dyDescent="0.25">
      <c r="B853" s="77"/>
      <c r="D853" s="1" t="str">
        <f t="shared" si="31"/>
        <v/>
      </c>
      <c r="E853" s="20"/>
      <c r="K853" s="25"/>
      <c r="L853" s="23"/>
      <c r="M853" s="32"/>
    </row>
    <row r="854" spans="2:13" s="1" customFormat="1" x14ac:dyDescent="0.25">
      <c r="B854" s="77"/>
      <c r="D854" s="1" t="str">
        <f t="shared" si="31"/>
        <v/>
      </c>
      <c r="E854" s="20"/>
      <c r="K854" s="25"/>
      <c r="L854" s="23"/>
      <c r="M854" s="32"/>
    </row>
    <row r="855" spans="2:13" s="1" customFormat="1" x14ac:dyDescent="0.25">
      <c r="B855" s="77"/>
      <c r="D855" s="1" t="str">
        <f t="shared" si="31"/>
        <v/>
      </c>
      <c r="E855" s="20"/>
      <c r="K855" s="25"/>
      <c r="L855" s="23"/>
      <c r="M855" s="32"/>
    </row>
    <row r="856" spans="2:13" s="1" customFormat="1" x14ac:dyDescent="0.25">
      <c r="B856" s="77"/>
      <c r="D856" s="1" t="str">
        <f t="shared" si="31"/>
        <v/>
      </c>
      <c r="E856" s="20"/>
      <c r="K856" s="25"/>
      <c r="L856" s="23"/>
      <c r="M856" s="32"/>
    </row>
    <row r="857" spans="2:13" s="1" customFormat="1" x14ac:dyDescent="0.25">
      <c r="B857" s="77"/>
      <c r="D857" s="1" t="str">
        <f t="shared" si="31"/>
        <v/>
      </c>
      <c r="E857" s="20"/>
      <c r="K857" s="25"/>
      <c r="L857" s="23"/>
      <c r="M857" s="32"/>
    </row>
    <row r="858" spans="2:13" s="1" customFormat="1" x14ac:dyDescent="0.25">
      <c r="B858" s="77"/>
      <c r="D858" s="1" t="str">
        <f t="shared" si="31"/>
        <v/>
      </c>
      <c r="E858" s="20"/>
      <c r="K858" s="25"/>
      <c r="L858" s="23"/>
      <c r="M858" s="32"/>
    </row>
    <row r="859" spans="2:13" s="1" customFormat="1" x14ac:dyDescent="0.25">
      <c r="B859" s="77"/>
      <c r="D859" s="1" t="str">
        <f t="shared" si="31"/>
        <v/>
      </c>
      <c r="E859" s="20"/>
      <c r="K859" s="25"/>
      <c r="L859" s="23"/>
      <c r="M859" s="32"/>
    </row>
    <row r="860" spans="2:13" s="1" customFormat="1" x14ac:dyDescent="0.25">
      <c r="B860" s="77"/>
      <c r="D860" s="1" t="str">
        <f t="shared" si="31"/>
        <v/>
      </c>
      <c r="E860" s="20"/>
      <c r="K860" s="25"/>
      <c r="L860" s="23"/>
      <c r="M860" s="32"/>
    </row>
    <row r="861" spans="2:13" s="1" customFormat="1" x14ac:dyDescent="0.25">
      <c r="B861" s="77"/>
      <c r="D861" s="1" t="str">
        <f t="shared" si="31"/>
        <v/>
      </c>
      <c r="E861" s="20"/>
      <c r="K861" s="25"/>
      <c r="L861" s="23"/>
      <c r="M861" s="32"/>
    </row>
    <row r="862" spans="2:13" s="1" customFormat="1" x14ac:dyDescent="0.25">
      <c r="B862" s="77"/>
      <c r="D862" s="1" t="str">
        <f t="shared" si="31"/>
        <v/>
      </c>
      <c r="E862" s="20"/>
      <c r="K862" s="25"/>
      <c r="L862" s="23"/>
      <c r="M862" s="32"/>
    </row>
    <row r="863" spans="2:13" s="1" customFormat="1" x14ac:dyDescent="0.25">
      <c r="B863" s="77"/>
      <c r="D863" s="1" t="str">
        <f t="shared" si="31"/>
        <v/>
      </c>
      <c r="E863" s="20"/>
      <c r="K863" s="25"/>
      <c r="L863" s="23"/>
      <c r="M863" s="32"/>
    </row>
    <row r="864" spans="2:13" s="1" customFormat="1" x14ac:dyDescent="0.25">
      <c r="B864" s="77"/>
      <c r="D864" s="1" t="str">
        <f t="shared" si="31"/>
        <v/>
      </c>
      <c r="E864" s="20"/>
      <c r="K864" s="25"/>
      <c r="L864" s="23"/>
      <c r="M864" s="32"/>
    </row>
    <row r="865" spans="2:13" s="1" customFormat="1" x14ac:dyDescent="0.25">
      <c r="B865" s="77"/>
      <c r="D865" s="1" t="str">
        <f t="shared" si="31"/>
        <v/>
      </c>
      <c r="E865" s="20"/>
      <c r="K865" s="25"/>
      <c r="L865" s="23"/>
      <c r="M865" s="32"/>
    </row>
    <row r="866" spans="2:13" s="1" customFormat="1" x14ac:dyDescent="0.25">
      <c r="B866" s="77"/>
      <c r="D866" s="1" t="str">
        <f t="shared" si="31"/>
        <v/>
      </c>
      <c r="E866" s="20"/>
      <c r="K866" s="25"/>
      <c r="L866" s="23"/>
      <c r="M866" s="32"/>
    </row>
    <row r="867" spans="2:13" s="1" customFormat="1" x14ac:dyDescent="0.25">
      <c r="B867" s="77"/>
      <c r="D867" s="1" t="str">
        <f t="shared" si="31"/>
        <v/>
      </c>
      <c r="E867" s="20"/>
      <c r="K867" s="25"/>
      <c r="L867" s="23"/>
      <c r="M867" s="32"/>
    </row>
    <row r="868" spans="2:13" s="1" customFormat="1" x14ac:dyDescent="0.25">
      <c r="B868" s="77"/>
      <c r="D868" s="1" t="str">
        <f t="shared" si="31"/>
        <v/>
      </c>
      <c r="E868" s="20"/>
      <c r="K868" s="25"/>
      <c r="L868" s="23"/>
      <c r="M868" s="32"/>
    </row>
    <row r="869" spans="2:13" s="1" customFormat="1" x14ac:dyDescent="0.25">
      <c r="B869" s="77"/>
      <c r="D869" s="1" t="str">
        <f t="shared" si="31"/>
        <v/>
      </c>
      <c r="E869" s="20"/>
      <c r="K869" s="25"/>
      <c r="L869" s="23"/>
      <c r="M869" s="32"/>
    </row>
    <row r="870" spans="2:13" s="1" customFormat="1" x14ac:dyDescent="0.25">
      <c r="B870" s="77"/>
      <c r="D870" s="1" t="str">
        <f t="shared" si="31"/>
        <v/>
      </c>
      <c r="E870" s="20"/>
      <c r="K870" s="25"/>
      <c r="L870" s="23"/>
      <c r="M870" s="32"/>
    </row>
    <row r="871" spans="2:13" s="1" customFormat="1" x14ac:dyDescent="0.25">
      <c r="B871" s="77"/>
      <c r="D871" s="1" t="str">
        <f t="shared" si="31"/>
        <v/>
      </c>
      <c r="E871" s="20"/>
      <c r="K871" s="25"/>
      <c r="L871" s="23"/>
      <c r="M871" s="32"/>
    </row>
    <row r="872" spans="2:13" s="1" customFormat="1" x14ac:dyDescent="0.25">
      <c r="B872" s="77"/>
      <c r="D872" s="1" t="str">
        <f t="shared" si="31"/>
        <v/>
      </c>
      <c r="E872" s="20"/>
      <c r="K872" s="25"/>
      <c r="L872" s="23"/>
      <c r="M872" s="32"/>
    </row>
    <row r="873" spans="2:13" s="1" customFormat="1" x14ac:dyDescent="0.25">
      <c r="B873" s="77"/>
      <c r="D873" s="1" t="str">
        <f t="shared" si="31"/>
        <v/>
      </c>
      <c r="E873" s="20"/>
      <c r="K873" s="25"/>
      <c r="L873" s="23"/>
      <c r="M873" s="32"/>
    </row>
    <row r="874" spans="2:13" s="1" customFormat="1" x14ac:dyDescent="0.25">
      <c r="B874" s="77"/>
      <c r="D874" s="1" t="str">
        <f t="shared" si="31"/>
        <v/>
      </c>
      <c r="E874" s="20"/>
      <c r="K874" s="25"/>
      <c r="L874" s="23"/>
      <c r="M874" s="32"/>
    </row>
    <row r="875" spans="2:13" s="1" customFormat="1" x14ac:dyDescent="0.25">
      <c r="B875" s="77"/>
      <c r="D875" s="1" t="str">
        <f t="shared" si="31"/>
        <v/>
      </c>
      <c r="E875" s="20"/>
      <c r="K875" s="25"/>
      <c r="L875" s="23"/>
      <c r="M875" s="32"/>
    </row>
    <row r="876" spans="2:13" s="1" customFormat="1" x14ac:dyDescent="0.25">
      <c r="B876" s="77"/>
      <c r="D876" s="1" t="str">
        <f t="shared" si="31"/>
        <v/>
      </c>
      <c r="E876" s="20"/>
      <c r="K876" s="25"/>
      <c r="L876" s="23"/>
      <c r="M876" s="32"/>
    </row>
    <row r="877" spans="2:13" s="1" customFormat="1" x14ac:dyDescent="0.25">
      <c r="B877" s="77"/>
      <c r="D877" s="1" t="str">
        <f t="shared" si="31"/>
        <v/>
      </c>
      <c r="E877" s="20"/>
      <c r="K877" s="25"/>
      <c r="L877" s="23"/>
      <c r="M877" s="32"/>
    </row>
    <row r="878" spans="2:13" s="1" customFormat="1" x14ac:dyDescent="0.25">
      <c r="B878" s="77"/>
      <c r="D878" s="1" t="str">
        <f t="shared" si="31"/>
        <v/>
      </c>
      <c r="E878" s="20"/>
      <c r="K878" s="25"/>
      <c r="L878" s="23"/>
      <c r="M878" s="32"/>
    </row>
    <row r="879" spans="2:13" s="1" customFormat="1" x14ac:dyDescent="0.25">
      <c r="B879" s="77"/>
      <c r="D879" s="1" t="str">
        <f t="shared" si="31"/>
        <v/>
      </c>
      <c r="E879" s="20"/>
      <c r="K879" s="25"/>
      <c r="L879" s="23"/>
      <c r="M879" s="32"/>
    </row>
    <row r="880" spans="2:13" s="1" customFormat="1" x14ac:dyDescent="0.25">
      <c r="B880" s="77"/>
      <c r="D880" s="1" t="str">
        <f t="shared" si="31"/>
        <v/>
      </c>
      <c r="E880" s="20"/>
      <c r="K880" s="25"/>
      <c r="L880" s="23"/>
      <c r="M880" s="32"/>
    </row>
    <row r="881" spans="2:13" s="1" customFormat="1" x14ac:dyDescent="0.25">
      <c r="B881" s="77"/>
      <c r="D881" s="1" t="str">
        <f t="shared" si="31"/>
        <v/>
      </c>
      <c r="E881" s="20"/>
      <c r="K881" s="25"/>
      <c r="L881" s="23"/>
      <c r="M881" s="32"/>
    </row>
    <row r="882" spans="2:13" s="1" customFormat="1" x14ac:dyDescent="0.25">
      <c r="B882" s="77"/>
      <c r="D882" s="1" t="str">
        <f t="shared" si="31"/>
        <v/>
      </c>
      <c r="E882" s="20"/>
      <c r="K882" s="25"/>
      <c r="L882" s="23"/>
      <c r="M882" s="32"/>
    </row>
    <row r="883" spans="2:13" s="1" customFormat="1" x14ac:dyDescent="0.25">
      <c r="B883" s="77"/>
      <c r="D883" s="1" t="str">
        <f t="shared" si="31"/>
        <v/>
      </c>
      <c r="E883" s="20"/>
      <c r="K883" s="25"/>
      <c r="L883" s="23"/>
      <c r="M883" s="32"/>
    </row>
    <row r="884" spans="2:13" s="1" customFormat="1" x14ac:dyDescent="0.25">
      <c r="B884" s="77"/>
      <c r="D884" s="1" t="str">
        <f t="shared" si="31"/>
        <v/>
      </c>
      <c r="E884" s="20"/>
      <c r="K884" s="25"/>
      <c r="L884" s="23"/>
      <c r="M884" s="32"/>
    </row>
    <row r="885" spans="2:13" s="1" customFormat="1" x14ac:dyDescent="0.25">
      <c r="B885" s="77"/>
      <c r="D885" s="1" t="str">
        <f t="shared" si="31"/>
        <v/>
      </c>
      <c r="E885" s="20"/>
      <c r="K885" s="25"/>
      <c r="L885" s="23"/>
      <c r="M885" s="32"/>
    </row>
    <row r="886" spans="2:13" s="1" customFormat="1" x14ac:dyDescent="0.25">
      <c r="B886" s="77"/>
      <c r="D886" s="1" t="str">
        <f t="shared" si="31"/>
        <v/>
      </c>
      <c r="E886" s="20"/>
      <c r="K886" s="25"/>
      <c r="L886" s="23"/>
      <c r="M886" s="32"/>
    </row>
    <row r="887" spans="2:13" s="1" customFormat="1" x14ac:dyDescent="0.25">
      <c r="B887" s="77"/>
      <c r="D887" s="1" t="str">
        <f t="shared" si="31"/>
        <v/>
      </c>
      <c r="E887" s="20"/>
      <c r="K887" s="25"/>
      <c r="L887" s="23"/>
      <c r="M887" s="32"/>
    </row>
    <row r="888" spans="2:13" s="1" customFormat="1" x14ac:dyDescent="0.25">
      <c r="B888" s="77"/>
      <c r="D888" s="1" t="str">
        <f t="shared" si="31"/>
        <v/>
      </c>
      <c r="E888" s="20"/>
      <c r="K888" s="25"/>
      <c r="L888" s="23"/>
      <c r="M888" s="32"/>
    </row>
    <row r="889" spans="2:13" s="1" customFormat="1" x14ac:dyDescent="0.25">
      <c r="B889" s="77"/>
      <c r="D889" s="1" t="str">
        <f t="shared" si="31"/>
        <v/>
      </c>
      <c r="E889" s="20"/>
      <c r="K889" s="25"/>
      <c r="L889" s="23"/>
      <c r="M889" s="32"/>
    </row>
    <row r="890" spans="2:13" s="1" customFormat="1" x14ac:dyDescent="0.25">
      <c r="B890" s="77"/>
      <c r="D890" s="1" t="str">
        <f t="shared" si="31"/>
        <v/>
      </c>
      <c r="E890" s="20"/>
      <c r="K890" s="25"/>
      <c r="L890" s="23"/>
      <c r="M890" s="32"/>
    </row>
    <row r="891" spans="2:13" s="1" customFormat="1" x14ac:dyDescent="0.25">
      <c r="B891" s="77"/>
      <c r="D891" s="1" t="str">
        <f t="shared" si="31"/>
        <v/>
      </c>
      <c r="E891" s="20"/>
      <c r="K891" s="25"/>
      <c r="L891" s="23"/>
      <c r="M891" s="32"/>
    </row>
    <row r="892" spans="2:13" s="1" customFormat="1" x14ac:dyDescent="0.25">
      <c r="B892" s="77"/>
      <c r="D892" s="1" t="str">
        <f t="shared" si="31"/>
        <v/>
      </c>
      <c r="E892" s="20"/>
      <c r="K892" s="25"/>
      <c r="L892" s="23"/>
      <c r="M892" s="32"/>
    </row>
    <row r="893" spans="2:13" s="1" customFormat="1" x14ac:dyDescent="0.25">
      <c r="B893" s="77"/>
      <c r="D893" s="1" t="str">
        <f t="shared" si="31"/>
        <v/>
      </c>
      <c r="E893" s="20"/>
      <c r="K893" s="25"/>
      <c r="L893" s="23"/>
      <c r="M893" s="32"/>
    </row>
    <row r="894" spans="2:13" s="1" customFormat="1" x14ac:dyDescent="0.25">
      <c r="B894" s="77"/>
      <c r="D894" s="1" t="str">
        <f t="shared" si="31"/>
        <v/>
      </c>
      <c r="E894" s="20"/>
      <c r="K894" s="25"/>
      <c r="L894" s="23"/>
      <c r="M894" s="32"/>
    </row>
    <row r="895" spans="2:13" s="1" customFormat="1" x14ac:dyDescent="0.25">
      <c r="B895" s="77"/>
      <c r="D895" s="1" t="str">
        <f t="shared" si="31"/>
        <v/>
      </c>
      <c r="E895" s="20"/>
      <c r="K895" s="25"/>
      <c r="L895" s="23"/>
      <c r="M895" s="32"/>
    </row>
    <row r="896" spans="2:13" s="1" customFormat="1" x14ac:dyDescent="0.25">
      <c r="B896" s="77"/>
      <c r="D896" s="1" t="str">
        <f t="shared" si="31"/>
        <v/>
      </c>
      <c r="E896" s="20"/>
      <c r="K896" s="25"/>
      <c r="L896" s="23"/>
      <c r="M896" s="32"/>
    </row>
    <row r="897" spans="2:13" s="1" customFormat="1" x14ac:dyDescent="0.25">
      <c r="B897" s="77"/>
      <c r="D897" s="1" t="str">
        <f t="shared" si="31"/>
        <v/>
      </c>
      <c r="E897" s="20"/>
      <c r="K897" s="25"/>
      <c r="L897" s="23"/>
      <c r="M897" s="32"/>
    </row>
    <row r="898" spans="2:13" s="1" customFormat="1" x14ac:dyDescent="0.25">
      <c r="B898" s="77"/>
      <c r="D898" s="1" t="str">
        <f t="shared" si="31"/>
        <v/>
      </c>
      <c r="E898" s="20"/>
      <c r="K898" s="25"/>
      <c r="L898" s="23"/>
      <c r="M898" s="32"/>
    </row>
    <row r="899" spans="2:13" s="1" customFormat="1" x14ac:dyDescent="0.25">
      <c r="B899" s="77"/>
      <c r="D899" s="1" t="str">
        <f t="shared" si="31"/>
        <v/>
      </c>
      <c r="E899" s="20"/>
      <c r="K899" s="25"/>
      <c r="L899" s="23"/>
      <c r="M899" s="32"/>
    </row>
    <row r="900" spans="2:13" s="1" customFormat="1" x14ac:dyDescent="0.25">
      <c r="B900" s="77"/>
      <c r="D900" s="1" t="str">
        <f t="shared" si="31"/>
        <v/>
      </c>
      <c r="E900" s="20"/>
      <c r="K900" s="25"/>
      <c r="L900" s="23"/>
      <c r="M900" s="32"/>
    </row>
    <row r="901" spans="2:13" s="1" customFormat="1" x14ac:dyDescent="0.25">
      <c r="B901" s="77"/>
      <c r="D901" s="1" t="str">
        <f t="shared" si="31"/>
        <v/>
      </c>
      <c r="E901" s="20"/>
      <c r="K901" s="25"/>
      <c r="L901" s="23"/>
      <c r="M901" s="32"/>
    </row>
    <row r="902" spans="2:13" s="1" customFormat="1" x14ac:dyDescent="0.25">
      <c r="B902" s="77"/>
      <c r="D902" s="1" t="str">
        <f t="shared" si="31"/>
        <v/>
      </c>
      <c r="E902" s="20"/>
      <c r="K902" s="25"/>
      <c r="L902" s="23"/>
      <c r="M902" s="32"/>
    </row>
    <row r="903" spans="2:13" s="1" customFormat="1" x14ac:dyDescent="0.25">
      <c r="B903" s="77"/>
      <c r="D903" s="1" t="str">
        <f t="shared" si="31"/>
        <v/>
      </c>
      <c r="E903" s="20"/>
      <c r="K903" s="25"/>
      <c r="L903" s="23"/>
      <c r="M903" s="32"/>
    </row>
    <row r="904" spans="2:13" s="1" customFormat="1" x14ac:dyDescent="0.25">
      <c r="B904" s="77"/>
      <c r="D904" s="1" t="str">
        <f t="shared" ref="D904:D967" si="32">IF(F904&lt;&gt;"",RIGHT(F904, LEN(F904) - FIND(" - ", F904) - 2),"")</f>
        <v/>
      </c>
      <c r="E904" s="20"/>
      <c r="K904" s="25"/>
      <c r="L904" s="23"/>
      <c r="M904" s="32"/>
    </row>
    <row r="905" spans="2:13" s="1" customFormat="1" x14ac:dyDescent="0.25">
      <c r="B905" s="77"/>
      <c r="D905" s="1" t="str">
        <f t="shared" si="32"/>
        <v/>
      </c>
      <c r="E905" s="20"/>
      <c r="K905" s="25"/>
      <c r="L905" s="23"/>
      <c r="M905" s="32"/>
    </row>
    <row r="906" spans="2:13" s="1" customFormat="1" x14ac:dyDescent="0.25">
      <c r="B906" s="77"/>
      <c r="D906" s="1" t="str">
        <f t="shared" si="32"/>
        <v/>
      </c>
      <c r="E906" s="20"/>
      <c r="K906" s="25"/>
      <c r="L906" s="23"/>
      <c r="M906" s="32"/>
    </row>
    <row r="907" spans="2:13" s="1" customFormat="1" x14ac:dyDescent="0.25">
      <c r="B907" s="77"/>
      <c r="D907" s="1" t="str">
        <f t="shared" si="32"/>
        <v/>
      </c>
      <c r="E907" s="20"/>
      <c r="K907" s="25"/>
      <c r="L907" s="23"/>
      <c r="M907" s="32"/>
    </row>
    <row r="908" spans="2:13" s="1" customFormat="1" x14ac:dyDescent="0.25">
      <c r="B908" s="77"/>
      <c r="D908" s="1" t="str">
        <f t="shared" si="32"/>
        <v/>
      </c>
      <c r="E908" s="20"/>
      <c r="K908" s="25"/>
      <c r="L908" s="23"/>
      <c r="M908" s="32"/>
    </row>
    <row r="909" spans="2:13" s="1" customFormat="1" x14ac:dyDescent="0.25">
      <c r="B909" s="77"/>
      <c r="D909" s="1" t="str">
        <f t="shared" si="32"/>
        <v/>
      </c>
      <c r="E909" s="20"/>
      <c r="K909" s="25"/>
      <c r="L909" s="23"/>
      <c r="M909" s="32"/>
    </row>
    <row r="910" spans="2:13" s="1" customFormat="1" x14ac:dyDescent="0.25">
      <c r="B910" s="77"/>
      <c r="D910" s="1" t="str">
        <f t="shared" si="32"/>
        <v/>
      </c>
      <c r="E910" s="20"/>
      <c r="K910" s="25"/>
      <c r="L910" s="23"/>
      <c r="M910" s="32"/>
    </row>
    <row r="911" spans="2:13" s="1" customFormat="1" x14ac:dyDescent="0.25">
      <c r="B911" s="77"/>
      <c r="D911" s="1" t="str">
        <f t="shared" si="32"/>
        <v/>
      </c>
      <c r="E911" s="20"/>
      <c r="K911" s="25"/>
      <c r="L911" s="23"/>
      <c r="M911" s="32"/>
    </row>
    <row r="912" spans="2:13" s="1" customFormat="1" x14ac:dyDescent="0.25">
      <c r="B912" s="77"/>
      <c r="D912" s="1" t="str">
        <f t="shared" si="32"/>
        <v/>
      </c>
      <c r="E912" s="20"/>
      <c r="K912" s="25"/>
      <c r="L912" s="23"/>
      <c r="M912" s="32"/>
    </row>
    <row r="913" spans="2:13" s="1" customFormat="1" x14ac:dyDescent="0.25">
      <c r="B913" s="77"/>
      <c r="D913" s="1" t="str">
        <f t="shared" si="32"/>
        <v/>
      </c>
      <c r="E913" s="20"/>
      <c r="K913" s="25"/>
      <c r="L913" s="23"/>
      <c r="M913" s="32"/>
    </row>
    <row r="914" spans="2:13" s="1" customFormat="1" x14ac:dyDescent="0.25">
      <c r="B914" s="77"/>
      <c r="D914" s="1" t="str">
        <f t="shared" si="32"/>
        <v/>
      </c>
      <c r="E914" s="20"/>
      <c r="K914" s="25"/>
      <c r="L914" s="23"/>
      <c r="M914" s="32"/>
    </row>
    <row r="915" spans="2:13" s="1" customFormat="1" x14ac:dyDescent="0.25">
      <c r="B915" s="77"/>
      <c r="D915" s="1" t="str">
        <f t="shared" si="32"/>
        <v/>
      </c>
      <c r="E915" s="20"/>
      <c r="K915" s="25"/>
      <c r="L915" s="23"/>
      <c r="M915" s="32"/>
    </row>
    <row r="916" spans="2:13" s="1" customFormat="1" x14ac:dyDescent="0.25">
      <c r="B916" s="77"/>
      <c r="D916" s="1" t="str">
        <f t="shared" si="32"/>
        <v/>
      </c>
      <c r="E916" s="20"/>
      <c r="K916" s="25"/>
      <c r="L916" s="23"/>
      <c r="M916" s="32"/>
    </row>
    <row r="917" spans="2:13" s="1" customFormat="1" x14ac:dyDescent="0.25">
      <c r="B917" s="77"/>
      <c r="D917" s="1" t="str">
        <f t="shared" si="32"/>
        <v/>
      </c>
      <c r="E917" s="20"/>
      <c r="K917" s="25"/>
      <c r="L917" s="23"/>
      <c r="M917" s="32"/>
    </row>
    <row r="918" spans="2:13" s="1" customFormat="1" x14ac:dyDescent="0.25">
      <c r="B918" s="77"/>
      <c r="D918" s="1" t="str">
        <f t="shared" si="32"/>
        <v/>
      </c>
      <c r="E918" s="20"/>
      <c r="K918" s="25"/>
      <c r="L918" s="23"/>
      <c r="M918" s="32"/>
    </row>
    <row r="919" spans="2:13" s="1" customFormat="1" x14ac:dyDescent="0.25">
      <c r="B919" s="77"/>
      <c r="D919" s="1" t="str">
        <f t="shared" si="32"/>
        <v/>
      </c>
      <c r="E919" s="20"/>
      <c r="K919" s="25"/>
      <c r="L919" s="23"/>
      <c r="M919" s="32"/>
    </row>
    <row r="920" spans="2:13" s="1" customFormat="1" x14ac:dyDescent="0.25">
      <c r="B920" s="77"/>
      <c r="D920" s="1" t="str">
        <f t="shared" si="32"/>
        <v/>
      </c>
      <c r="E920" s="20"/>
      <c r="K920" s="25"/>
      <c r="L920" s="23"/>
      <c r="M920" s="32"/>
    </row>
    <row r="921" spans="2:13" s="1" customFormat="1" x14ac:dyDescent="0.25">
      <c r="B921" s="77"/>
      <c r="D921" s="1" t="str">
        <f t="shared" si="32"/>
        <v/>
      </c>
      <c r="E921" s="20"/>
      <c r="K921" s="25"/>
      <c r="L921" s="23"/>
      <c r="M921" s="32"/>
    </row>
    <row r="922" spans="2:13" s="1" customFormat="1" x14ac:dyDescent="0.25">
      <c r="B922" s="77"/>
      <c r="D922" s="1" t="str">
        <f t="shared" si="32"/>
        <v/>
      </c>
      <c r="E922" s="20"/>
      <c r="K922" s="25"/>
      <c r="L922" s="23"/>
      <c r="M922" s="32"/>
    </row>
    <row r="923" spans="2:13" s="1" customFormat="1" x14ac:dyDescent="0.25">
      <c r="B923" s="77"/>
      <c r="D923" s="1" t="str">
        <f t="shared" si="32"/>
        <v/>
      </c>
      <c r="E923" s="20"/>
      <c r="K923" s="25"/>
      <c r="L923" s="23"/>
      <c r="M923" s="32"/>
    </row>
    <row r="924" spans="2:13" s="1" customFormat="1" x14ac:dyDescent="0.25">
      <c r="B924" s="77"/>
      <c r="D924" s="1" t="str">
        <f t="shared" si="32"/>
        <v/>
      </c>
      <c r="E924" s="20"/>
      <c r="K924" s="25"/>
      <c r="L924" s="23"/>
      <c r="M924" s="32"/>
    </row>
    <row r="925" spans="2:13" s="1" customFormat="1" x14ac:dyDescent="0.25">
      <c r="B925" s="77"/>
      <c r="D925" s="1" t="str">
        <f t="shared" si="32"/>
        <v/>
      </c>
      <c r="E925" s="20"/>
      <c r="K925" s="25"/>
      <c r="L925" s="23"/>
      <c r="M925" s="32"/>
    </row>
    <row r="926" spans="2:13" s="1" customFormat="1" x14ac:dyDescent="0.25">
      <c r="B926" s="77"/>
      <c r="D926" s="1" t="str">
        <f t="shared" si="32"/>
        <v/>
      </c>
      <c r="E926" s="20"/>
      <c r="K926" s="25"/>
      <c r="L926" s="23"/>
      <c r="M926" s="32"/>
    </row>
    <row r="927" spans="2:13" s="1" customFormat="1" x14ac:dyDescent="0.25">
      <c r="B927" s="77"/>
      <c r="D927" s="1" t="str">
        <f t="shared" si="32"/>
        <v/>
      </c>
      <c r="E927" s="20"/>
      <c r="K927" s="25"/>
      <c r="L927" s="23"/>
      <c r="M927" s="32"/>
    </row>
    <row r="928" spans="2:13" s="1" customFormat="1" x14ac:dyDescent="0.25">
      <c r="B928" s="77"/>
      <c r="D928" s="1" t="str">
        <f t="shared" si="32"/>
        <v/>
      </c>
      <c r="E928" s="20"/>
      <c r="K928" s="25"/>
      <c r="L928" s="23"/>
      <c r="M928" s="32"/>
    </row>
    <row r="929" spans="2:13" s="1" customFormat="1" x14ac:dyDescent="0.25">
      <c r="B929" s="77"/>
      <c r="D929" s="1" t="str">
        <f t="shared" si="32"/>
        <v/>
      </c>
      <c r="E929" s="20"/>
      <c r="K929" s="25"/>
      <c r="L929" s="23"/>
      <c r="M929" s="32"/>
    </row>
    <row r="930" spans="2:13" s="1" customFormat="1" x14ac:dyDescent="0.25">
      <c r="B930" s="77"/>
      <c r="D930" s="1" t="str">
        <f t="shared" si="32"/>
        <v/>
      </c>
      <c r="E930" s="20"/>
      <c r="K930" s="25"/>
      <c r="L930" s="23"/>
      <c r="M930" s="32"/>
    </row>
    <row r="931" spans="2:13" s="1" customFormat="1" x14ac:dyDescent="0.25">
      <c r="B931" s="77"/>
      <c r="D931" s="1" t="str">
        <f t="shared" si="32"/>
        <v/>
      </c>
      <c r="E931" s="20"/>
      <c r="K931" s="25"/>
      <c r="L931" s="23"/>
      <c r="M931" s="32"/>
    </row>
    <row r="932" spans="2:13" s="1" customFormat="1" x14ac:dyDescent="0.25">
      <c r="B932" s="77"/>
      <c r="D932" s="1" t="str">
        <f t="shared" si="32"/>
        <v/>
      </c>
      <c r="E932" s="20"/>
      <c r="K932" s="25"/>
      <c r="L932" s="23"/>
      <c r="M932" s="32"/>
    </row>
    <row r="933" spans="2:13" s="1" customFormat="1" x14ac:dyDescent="0.25">
      <c r="B933" s="77"/>
      <c r="D933" s="1" t="str">
        <f t="shared" si="32"/>
        <v/>
      </c>
      <c r="E933" s="20"/>
      <c r="K933" s="25"/>
      <c r="L933" s="23"/>
      <c r="M933" s="32"/>
    </row>
    <row r="934" spans="2:13" s="1" customFormat="1" x14ac:dyDescent="0.25">
      <c r="B934" s="77"/>
      <c r="D934" s="1" t="str">
        <f t="shared" si="32"/>
        <v/>
      </c>
      <c r="E934" s="20"/>
      <c r="K934" s="25"/>
      <c r="L934" s="23"/>
      <c r="M934" s="32"/>
    </row>
    <row r="935" spans="2:13" s="1" customFormat="1" x14ac:dyDescent="0.25">
      <c r="B935" s="77"/>
      <c r="D935" s="1" t="str">
        <f t="shared" si="32"/>
        <v/>
      </c>
      <c r="E935" s="20"/>
      <c r="K935" s="25"/>
      <c r="L935" s="23"/>
      <c r="M935" s="32"/>
    </row>
    <row r="936" spans="2:13" s="1" customFormat="1" x14ac:dyDescent="0.25">
      <c r="B936" s="77"/>
      <c r="D936" s="1" t="str">
        <f t="shared" si="32"/>
        <v/>
      </c>
      <c r="E936" s="20"/>
      <c r="K936" s="25"/>
      <c r="L936" s="23"/>
      <c r="M936" s="32"/>
    </row>
    <row r="937" spans="2:13" s="1" customFormat="1" x14ac:dyDescent="0.25">
      <c r="B937" s="77"/>
      <c r="D937" s="1" t="str">
        <f t="shared" si="32"/>
        <v/>
      </c>
      <c r="E937" s="20"/>
      <c r="K937" s="25"/>
      <c r="L937" s="23"/>
      <c r="M937" s="32"/>
    </row>
    <row r="938" spans="2:13" s="1" customFormat="1" x14ac:dyDescent="0.25">
      <c r="B938" s="77"/>
      <c r="D938" s="1" t="str">
        <f t="shared" si="32"/>
        <v/>
      </c>
      <c r="E938" s="20"/>
      <c r="K938" s="25"/>
      <c r="L938" s="23"/>
      <c r="M938" s="32"/>
    </row>
    <row r="939" spans="2:13" s="1" customFormat="1" x14ac:dyDescent="0.25">
      <c r="B939" s="77"/>
      <c r="D939" s="1" t="str">
        <f t="shared" si="32"/>
        <v/>
      </c>
      <c r="E939" s="20"/>
      <c r="K939" s="25"/>
      <c r="L939" s="23"/>
      <c r="M939" s="32"/>
    </row>
    <row r="940" spans="2:13" s="1" customFormat="1" x14ac:dyDescent="0.25">
      <c r="B940" s="77"/>
      <c r="D940" s="1" t="str">
        <f t="shared" si="32"/>
        <v/>
      </c>
      <c r="E940" s="20"/>
      <c r="K940" s="25"/>
      <c r="L940" s="23"/>
      <c r="M940" s="32"/>
    </row>
    <row r="941" spans="2:13" s="1" customFormat="1" x14ac:dyDescent="0.25">
      <c r="B941" s="77"/>
      <c r="D941" s="1" t="str">
        <f t="shared" si="32"/>
        <v/>
      </c>
      <c r="E941" s="20"/>
      <c r="K941" s="25"/>
      <c r="L941" s="23"/>
      <c r="M941" s="32"/>
    </row>
    <row r="942" spans="2:13" s="1" customFormat="1" x14ac:dyDescent="0.25">
      <c r="B942" s="77"/>
      <c r="D942" s="1" t="str">
        <f t="shared" si="32"/>
        <v/>
      </c>
      <c r="E942" s="20"/>
      <c r="K942" s="25"/>
      <c r="L942" s="23"/>
      <c r="M942" s="32"/>
    </row>
    <row r="943" spans="2:13" s="1" customFormat="1" x14ac:dyDescent="0.25">
      <c r="B943" s="77"/>
      <c r="D943" s="1" t="str">
        <f t="shared" si="32"/>
        <v/>
      </c>
      <c r="E943" s="20"/>
      <c r="K943" s="25"/>
      <c r="L943" s="23"/>
      <c r="M943" s="32"/>
    </row>
    <row r="944" spans="2:13" s="1" customFormat="1" x14ac:dyDescent="0.25">
      <c r="B944" s="77"/>
      <c r="D944" s="1" t="str">
        <f t="shared" si="32"/>
        <v/>
      </c>
      <c r="E944" s="20"/>
      <c r="K944" s="25"/>
      <c r="L944" s="23"/>
      <c r="M944" s="32"/>
    </row>
    <row r="945" spans="2:13" s="1" customFormat="1" x14ac:dyDescent="0.25">
      <c r="B945" s="77"/>
      <c r="D945" s="1" t="str">
        <f t="shared" si="32"/>
        <v/>
      </c>
      <c r="E945" s="20"/>
      <c r="K945" s="25"/>
      <c r="L945" s="23"/>
      <c r="M945" s="32"/>
    </row>
    <row r="946" spans="2:13" s="1" customFormat="1" x14ac:dyDescent="0.25">
      <c r="B946" s="77"/>
      <c r="D946" s="1" t="str">
        <f t="shared" si="32"/>
        <v/>
      </c>
      <c r="E946" s="20"/>
      <c r="K946" s="25"/>
      <c r="L946" s="23"/>
      <c r="M946" s="32"/>
    </row>
    <row r="947" spans="2:13" s="1" customFormat="1" x14ac:dyDescent="0.25">
      <c r="B947" s="77"/>
      <c r="D947" s="1" t="str">
        <f t="shared" si="32"/>
        <v/>
      </c>
      <c r="E947" s="20"/>
      <c r="K947" s="25"/>
      <c r="L947" s="23"/>
      <c r="M947" s="32"/>
    </row>
    <row r="948" spans="2:13" s="1" customFormat="1" x14ac:dyDescent="0.25">
      <c r="B948" s="77"/>
      <c r="D948" s="1" t="str">
        <f t="shared" si="32"/>
        <v/>
      </c>
      <c r="E948" s="20"/>
      <c r="K948" s="25"/>
      <c r="L948" s="23"/>
      <c r="M948" s="32"/>
    </row>
    <row r="949" spans="2:13" s="1" customFormat="1" x14ac:dyDescent="0.25">
      <c r="B949" s="77"/>
      <c r="D949" s="1" t="str">
        <f t="shared" si="32"/>
        <v/>
      </c>
      <c r="E949" s="20"/>
      <c r="K949" s="25"/>
      <c r="L949" s="23"/>
      <c r="M949" s="32"/>
    </row>
    <row r="950" spans="2:13" s="1" customFormat="1" x14ac:dyDescent="0.25">
      <c r="B950" s="77"/>
      <c r="D950" s="1" t="str">
        <f t="shared" si="32"/>
        <v/>
      </c>
      <c r="E950" s="20"/>
      <c r="K950" s="25"/>
      <c r="L950" s="23"/>
      <c r="M950" s="32"/>
    </row>
    <row r="951" spans="2:13" s="1" customFormat="1" x14ac:dyDescent="0.25">
      <c r="B951" s="77"/>
      <c r="D951" s="1" t="str">
        <f t="shared" si="32"/>
        <v/>
      </c>
      <c r="E951" s="20"/>
      <c r="K951" s="25"/>
      <c r="L951" s="23"/>
      <c r="M951" s="32"/>
    </row>
    <row r="952" spans="2:13" s="1" customFormat="1" x14ac:dyDescent="0.25">
      <c r="B952" s="77"/>
      <c r="D952" s="1" t="str">
        <f t="shared" si="32"/>
        <v/>
      </c>
      <c r="E952" s="20"/>
      <c r="K952" s="25"/>
      <c r="L952" s="23"/>
      <c r="M952" s="32"/>
    </row>
    <row r="953" spans="2:13" s="1" customFormat="1" x14ac:dyDescent="0.25">
      <c r="B953" s="77"/>
      <c r="D953" s="1" t="str">
        <f t="shared" si="32"/>
        <v/>
      </c>
      <c r="E953" s="20"/>
      <c r="K953" s="25"/>
      <c r="L953" s="23"/>
      <c r="M953" s="32"/>
    </row>
    <row r="954" spans="2:13" s="1" customFormat="1" x14ac:dyDescent="0.25">
      <c r="B954" s="77"/>
      <c r="D954" s="1" t="str">
        <f t="shared" si="32"/>
        <v/>
      </c>
      <c r="E954" s="20"/>
      <c r="K954" s="25"/>
      <c r="L954" s="23"/>
      <c r="M954" s="32"/>
    </row>
    <row r="955" spans="2:13" s="1" customFormat="1" x14ac:dyDescent="0.25">
      <c r="B955" s="77"/>
      <c r="D955" s="1" t="str">
        <f t="shared" si="32"/>
        <v/>
      </c>
      <c r="E955" s="20"/>
      <c r="K955" s="25"/>
      <c r="L955" s="23"/>
      <c r="M955" s="32"/>
    </row>
    <row r="956" spans="2:13" s="1" customFormat="1" x14ac:dyDescent="0.25">
      <c r="B956" s="77"/>
      <c r="D956" s="1" t="str">
        <f t="shared" si="32"/>
        <v/>
      </c>
      <c r="E956" s="20"/>
      <c r="K956" s="25"/>
      <c r="L956" s="23"/>
      <c r="M956" s="32"/>
    </row>
    <row r="957" spans="2:13" s="1" customFormat="1" x14ac:dyDescent="0.25">
      <c r="B957" s="77"/>
      <c r="D957" s="1" t="str">
        <f t="shared" si="32"/>
        <v/>
      </c>
      <c r="E957" s="20"/>
      <c r="K957" s="25"/>
      <c r="L957" s="23"/>
      <c r="M957" s="32"/>
    </row>
    <row r="958" spans="2:13" s="1" customFormat="1" x14ac:dyDescent="0.25">
      <c r="B958" s="77"/>
      <c r="D958" s="1" t="str">
        <f t="shared" si="32"/>
        <v/>
      </c>
      <c r="E958" s="20"/>
      <c r="K958" s="25"/>
      <c r="L958" s="23"/>
      <c r="M958" s="32"/>
    </row>
    <row r="959" spans="2:13" s="1" customFormat="1" x14ac:dyDescent="0.25">
      <c r="B959" s="77"/>
      <c r="D959" s="1" t="str">
        <f t="shared" si="32"/>
        <v/>
      </c>
      <c r="E959" s="20"/>
      <c r="K959" s="25"/>
      <c r="L959" s="23"/>
      <c r="M959" s="32"/>
    </row>
    <row r="960" spans="2:13" s="1" customFormat="1" x14ac:dyDescent="0.25">
      <c r="B960" s="77"/>
      <c r="D960" s="1" t="str">
        <f t="shared" si="32"/>
        <v/>
      </c>
      <c r="E960" s="20"/>
      <c r="K960" s="25"/>
      <c r="L960" s="23"/>
      <c r="M960" s="32"/>
    </row>
    <row r="961" spans="2:13" s="1" customFormat="1" x14ac:dyDescent="0.25">
      <c r="B961" s="77"/>
      <c r="D961" s="1" t="str">
        <f t="shared" si="32"/>
        <v/>
      </c>
      <c r="E961" s="20"/>
      <c r="K961" s="25"/>
      <c r="L961" s="23"/>
      <c r="M961" s="32"/>
    </row>
    <row r="962" spans="2:13" s="1" customFormat="1" x14ac:dyDescent="0.25">
      <c r="B962" s="77"/>
      <c r="D962" s="1" t="str">
        <f t="shared" si="32"/>
        <v/>
      </c>
      <c r="E962" s="20"/>
      <c r="K962" s="25"/>
      <c r="L962" s="23"/>
      <c r="M962" s="32"/>
    </row>
    <row r="963" spans="2:13" s="1" customFormat="1" x14ac:dyDescent="0.25">
      <c r="B963" s="77"/>
      <c r="D963" s="1" t="str">
        <f t="shared" si="32"/>
        <v/>
      </c>
      <c r="E963" s="20"/>
      <c r="K963" s="25"/>
      <c r="L963" s="23"/>
      <c r="M963" s="32"/>
    </row>
    <row r="964" spans="2:13" s="1" customFormat="1" x14ac:dyDescent="0.25">
      <c r="B964" s="77"/>
      <c r="D964" s="1" t="str">
        <f t="shared" si="32"/>
        <v/>
      </c>
      <c r="E964" s="20"/>
      <c r="K964" s="25"/>
      <c r="L964" s="23"/>
      <c r="M964" s="32"/>
    </row>
    <row r="965" spans="2:13" s="1" customFormat="1" x14ac:dyDescent="0.25">
      <c r="B965" s="77"/>
      <c r="D965" s="1" t="str">
        <f t="shared" si="32"/>
        <v/>
      </c>
      <c r="E965" s="20"/>
      <c r="K965" s="25"/>
      <c r="L965" s="23"/>
      <c r="M965" s="32"/>
    </row>
    <row r="966" spans="2:13" s="1" customFormat="1" x14ac:dyDescent="0.25">
      <c r="B966" s="77"/>
      <c r="D966" s="1" t="str">
        <f t="shared" si="32"/>
        <v/>
      </c>
      <c r="E966" s="20"/>
      <c r="K966" s="25"/>
      <c r="L966" s="23"/>
      <c r="M966" s="32"/>
    </row>
    <row r="967" spans="2:13" s="1" customFormat="1" x14ac:dyDescent="0.25">
      <c r="B967" s="77"/>
      <c r="D967" s="1" t="str">
        <f t="shared" si="32"/>
        <v/>
      </c>
      <c r="E967" s="20"/>
      <c r="K967" s="25"/>
      <c r="L967" s="23"/>
      <c r="M967" s="32"/>
    </row>
    <row r="968" spans="2:13" s="1" customFormat="1" x14ac:dyDescent="0.25">
      <c r="B968" s="77"/>
      <c r="D968" s="1" t="str">
        <f t="shared" ref="D968:D1031" si="33">IF(F968&lt;&gt;"",RIGHT(F968, LEN(F968) - FIND(" - ", F968) - 2),"")</f>
        <v/>
      </c>
      <c r="E968" s="20"/>
      <c r="K968" s="25"/>
      <c r="L968" s="23"/>
      <c r="M968" s="32"/>
    </row>
    <row r="969" spans="2:13" s="1" customFormat="1" x14ac:dyDescent="0.25">
      <c r="B969" s="77"/>
      <c r="D969" s="1" t="str">
        <f t="shared" si="33"/>
        <v/>
      </c>
      <c r="E969" s="20"/>
      <c r="K969" s="25"/>
      <c r="L969" s="23"/>
      <c r="M969" s="32"/>
    </row>
    <row r="970" spans="2:13" s="1" customFormat="1" x14ac:dyDescent="0.25">
      <c r="B970" s="77"/>
      <c r="D970" s="1" t="str">
        <f t="shared" si="33"/>
        <v/>
      </c>
      <c r="E970" s="20"/>
      <c r="K970" s="25"/>
      <c r="L970" s="23"/>
      <c r="M970" s="32"/>
    </row>
    <row r="971" spans="2:13" s="1" customFormat="1" x14ac:dyDescent="0.25">
      <c r="B971" s="77"/>
      <c r="D971" s="1" t="str">
        <f t="shared" si="33"/>
        <v/>
      </c>
      <c r="E971" s="20"/>
      <c r="K971" s="25"/>
      <c r="L971" s="23"/>
      <c r="M971" s="32"/>
    </row>
    <row r="972" spans="2:13" s="1" customFormat="1" x14ac:dyDescent="0.25">
      <c r="B972" s="77"/>
      <c r="D972" s="1" t="str">
        <f t="shared" si="33"/>
        <v/>
      </c>
      <c r="E972" s="20"/>
      <c r="K972" s="25"/>
      <c r="L972" s="23"/>
      <c r="M972" s="32"/>
    </row>
    <row r="973" spans="2:13" s="1" customFormat="1" x14ac:dyDescent="0.25">
      <c r="B973" s="77"/>
      <c r="D973" s="1" t="str">
        <f t="shared" si="33"/>
        <v/>
      </c>
      <c r="E973" s="20"/>
      <c r="K973" s="25"/>
      <c r="L973" s="23"/>
      <c r="M973" s="32"/>
    </row>
    <row r="974" spans="2:13" s="1" customFormat="1" x14ac:dyDescent="0.25">
      <c r="B974" s="77"/>
      <c r="D974" s="1" t="str">
        <f t="shared" si="33"/>
        <v/>
      </c>
      <c r="E974" s="20"/>
      <c r="K974" s="25"/>
      <c r="L974" s="23"/>
      <c r="M974" s="32"/>
    </row>
    <row r="975" spans="2:13" s="1" customFormat="1" x14ac:dyDescent="0.25">
      <c r="B975" s="77"/>
      <c r="D975" s="1" t="str">
        <f t="shared" si="33"/>
        <v/>
      </c>
      <c r="E975" s="20"/>
      <c r="K975" s="25"/>
      <c r="L975" s="23"/>
      <c r="M975" s="32"/>
    </row>
    <row r="976" spans="2:13" s="1" customFormat="1" x14ac:dyDescent="0.25">
      <c r="B976" s="77"/>
      <c r="D976" s="1" t="str">
        <f t="shared" si="33"/>
        <v/>
      </c>
      <c r="E976" s="20"/>
      <c r="K976" s="25"/>
      <c r="L976" s="23"/>
      <c r="M976" s="32"/>
    </row>
    <row r="977" spans="2:13" s="1" customFormat="1" x14ac:dyDescent="0.25">
      <c r="B977" s="77"/>
      <c r="D977" s="1" t="str">
        <f t="shared" si="33"/>
        <v/>
      </c>
      <c r="E977" s="20"/>
      <c r="K977" s="25"/>
      <c r="L977" s="23"/>
      <c r="M977" s="32"/>
    </row>
    <row r="978" spans="2:13" s="1" customFormat="1" x14ac:dyDescent="0.25">
      <c r="B978" s="77"/>
      <c r="D978" s="1" t="str">
        <f t="shared" si="33"/>
        <v/>
      </c>
      <c r="E978" s="20"/>
      <c r="K978" s="25"/>
      <c r="L978" s="23"/>
      <c r="M978" s="32"/>
    </row>
    <row r="979" spans="2:13" s="1" customFormat="1" x14ac:dyDescent="0.25">
      <c r="B979" s="77"/>
      <c r="D979" s="1" t="str">
        <f t="shared" si="33"/>
        <v/>
      </c>
      <c r="E979" s="20"/>
      <c r="K979" s="25"/>
      <c r="L979" s="23"/>
      <c r="M979" s="32"/>
    </row>
    <row r="980" spans="2:13" s="1" customFormat="1" x14ac:dyDescent="0.25">
      <c r="B980" s="77"/>
      <c r="D980" s="1" t="str">
        <f t="shared" si="33"/>
        <v/>
      </c>
      <c r="E980" s="20"/>
      <c r="K980" s="25"/>
      <c r="L980" s="23"/>
      <c r="M980" s="32"/>
    </row>
    <row r="981" spans="2:13" s="1" customFormat="1" x14ac:dyDescent="0.25">
      <c r="B981" s="77"/>
      <c r="D981" s="1" t="str">
        <f t="shared" si="33"/>
        <v/>
      </c>
      <c r="E981" s="20"/>
      <c r="K981" s="25"/>
      <c r="L981" s="23"/>
      <c r="M981" s="32"/>
    </row>
    <row r="982" spans="2:13" s="1" customFormat="1" x14ac:dyDescent="0.25">
      <c r="B982" s="77"/>
      <c r="D982" s="1" t="str">
        <f t="shared" si="33"/>
        <v/>
      </c>
      <c r="E982" s="20"/>
      <c r="K982" s="25"/>
      <c r="L982" s="23"/>
      <c r="M982" s="32"/>
    </row>
    <row r="983" spans="2:13" s="1" customFormat="1" x14ac:dyDescent="0.25">
      <c r="B983" s="77"/>
      <c r="D983" s="1" t="str">
        <f t="shared" si="33"/>
        <v/>
      </c>
      <c r="E983" s="20"/>
      <c r="K983" s="25"/>
      <c r="L983" s="23"/>
      <c r="M983" s="32"/>
    </row>
    <row r="984" spans="2:13" s="1" customFormat="1" x14ac:dyDescent="0.25">
      <c r="B984" s="77"/>
      <c r="D984" s="1" t="str">
        <f t="shared" si="33"/>
        <v/>
      </c>
      <c r="E984" s="20"/>
      <c r="K984" s="25"/>
      <c r="L984" s="23"/>
      <c r="M984" s="32"/>
    </row>
    <row r="985" spans="2:13" s="1" customFormat="1" x14ac:dyDescent="0.25">
      <c r="B985" s="77"/>
      <c r="D985" s="1" t="str">
        <f t="shared" si="33"/>
        <v/>
      </c>
      <c r="E985" s="20"/>
      <c r="K985" s="25"/>
      <c r="L985" s="23"/>
      <c r="M985" s="32"/>
    </row>
    <row r="986" spans="2:13" s="1" customFormat="1" x14ac:dyDescent="0.25">
      <c r="B986" s="77"/>
      <c r="D986" s="1" t="str">
        <f t="shared" si="33"/>
        <v/>
      </c>
      <c r="E986" s="20"/>
      <c r="K986" s="25"/>
      <c r="L986" s="23"/>
      <c r="M986" s="32"/>
    </row>
    <row r="987" spans="2:13" s="1" customFormat="1" x14ac:dyDescent="0.25">
      <c r="B987" s="77"/>
      <c r="D987" s="1" t="str">
        <f t="shared" si="33"/>
        <v/>
      </c>
      <c r="E987" s="20"/>
      <c r="K987" s="25"/>
      <c r="L987" s="23"/>
      <c r="M987" s="32"/>
    </row>
    <row r="988" spans="2:13" s="1" customFormat="1" x14ac:dyDescent="0.25">
      <c r="B988" s="77"/>
      <c r="D988" s="1" t="str">
        <f t="shared" si="33"/>
        <v/>
      </c>
      <c r="E988" s="20"/>
      <c r="K988" s="25"/>
      <c r="L988" s="23"/>
      <c r="M988" s="32"/>
    </row>
    <row r="989" spans="2:13" s="1" customFormat="1" x14ac:dyDescent="0.25">
      <c r="B989" s="77"/>
      <c r="D989" s="1" t="str">
        <f t="shared" si="33"/>
        <v/>
      </c>
      <c r="E989" s="20"/>
      <c r="K989" s="25"/>
      <c r="L989" s="23"/>
      <c r="M989" s="32"/>
    </row>
    <row r="990" spans="2:13" s="1" customFormat="1" x14ac:dyDescent="0.25">
      <c r="B990" s="77"/>
      <c r="D990" s="1" t="str">
        <f t="shared" si="33"/>
        <v/>
      </c>
      <c r="E990" s="20"/>
      <c r="K990" s="25"/>
      <c r="L990" s="23"/>
      <c r="M990" s="32"/>
    </row>
    <row r="991" spans="2:13" s="1" customFormat="1" x14ac:dyDescent="0.25">
      <c r="B991" s="77"/>
      <c r="D991" s="1" t="str">
        <f t="shared" si="33"/>
        <v/>
      </c>
      <c r="E991" s="20"/>
      <c r="K991" s="25"/>
      <c r="L991" s="23"/>
      <c r="M991" s="32"/>
    </row>
    <row r="992" spans="2:13" s="1" customFormat="1" x14ac:dyDescent="0.25">
      <c r="B992" s="77"/>
      <c r="D992" s="1" t="str">
        <f t="shared" si="33"/>
        <v/>
      </c>
      <c r="E992" s="20"/>
      <c r="K992" s="25"/>
      <c r="L992" s="23"/>
      <c r="M992" s="32"/>
    </row>
    <row r="993" spans="2:13" s="1" customFormat="1" x14ac:dyDescent="0.25">
      <c r="B993" s="77"/>
      <c r="D993" s="1" t="str">
        <f t="shared" si="33"/>
        <v/>
      </c>
      <c r="E993" s="20"/>
      <c r="K993" s="25"/>
      <c r="L993" s="23"/>
      <c r="M993" s="32"/>
    </row>
    <row r="994" spans="2:13" s="1" customFormat="1" x14ac:dyDescent="0.25">
      <c r="B994" s="77"/>
      <c r="D994" s="1" t="str">
        <f t="shared" si="33"/>
        <v/>
      </c>
      <c r="E994" s="20"/>
      <c r="K994" s="25"/>
      <c r="L994" s="23"/>
      <c r="M994" s="32"/>
    </row>
    <row r="995" spans="2:13" s="1" customFormat="1" x14ac:dyDescent="0.25">
      <c r="B995" s="77"/>
      <c r="D995" s="1" t="str">
        <f t="shared" si="33"/>
        <v/>
      </c>
      <c r="E995" s="20"/>
      <c r="K995" s="25"/>
      <c r="L995" s="23"/>
      <c r="M995" s="32"/>
    </row>
    <row r="996" spans="2:13" s="1" customFormat="1" x14ac:dyDescent="0.25">
      <c r="B996" s="77"/>
      <c r="D996" s="1" t="str">
        <f t="shared" si="33"/>
        <v/>
      </c>
      <c r="E996" s="20"/>
      <c r="K996" s="25"/>
      <c r="L996" s="23"/>
      <c r="M996" s="32"/>
    </row>
    <row r="997" spans="2:13" s="1" customFormat="1" x14ac:dyDescent="0.25">
      <c r="B997" s="77"/>
      <c r="D997" s="1" t="str">
        <f t="shared" si="33"/>
        <v/>
      </c>
      <c r="E997" s="20"/>
      <c r="K997" s="25"/>
      <c r="L997" s="23"/>
      <c r="M997" s="32"/>
    </row>
    <row r="998" spans="2:13" s="1" customFormat="1" x14ac:dyDescent="0.25">
      <c r="B998" s="77"/>
      <c r="D998" s="1" t="str">
        <f t="shared" si="33"/>
        <v/>
      </c>
      <c r="E998" s="20"/>
      <c r="K998" s="25"/>
      <c r="L998" s="23"/>
      <c r="M998" s="32"/>
    </row>
    <row r="999" spans="2:13" s="1" customFormat="1" x14ac:dyDescent="0.25">
      <c r="B999" s="77"/>
      <c r="D999" s="1" t="str">
        <f t="shared" si="33"/>
        <v/>
      </c>
      <c r="E999" s="20"/>
      <c r="K999" s="25"/>
      <c r="L999" s="23"/>
      <c r="M999" s="32"/>
    </row>
    <row r="1000" spans="2:13" s="1" customFormat="1" x14ac:dyDescent="0.25">
      <c r="B1000" s="77"/>
      <c r="D1000" s="1" t="str">
        <f t="shared" si="33"/>
        <v/>
      </c>
      <c r="E1000" s="20"/>
      <c r="K1000" s="25"/>
      <c r="L1000" s="23"/>
      <c r="M1000" s="32"/>
    </row>
    <row r="1001" spans="2:13" s="1" customFormat="1" x14ac:dyDescent="0.25">
      <c r="B1001" s="77"/>
      <c r="D1001" s="1" t="str">
        <f t="shared" si="33"/>
        <v/>
      </c>
      <c r="E1001" s="20"/>
      <c r="K1001" s="25"/>
      <c r="L1001" s="23"/>
      <c r="M1001" s="32"/>
    </row>
    <row r="1002" spans="2:13" s="1" customFormat="1" x14ac:dyDescent="0.25">
      <c r="B1002" s="77"/>
      <c r="D1002" s="1" t="str">
        <f t="shared" si="33"/>
        <v/>
      </c>
      <c r="E1002" s="20"/>
      <c r="K1002" s="25"/>
      <c r="L1002" s="23"/>
      <c r="M1002" s="32"/>
    </row>
    <row r="1003" spans="2:13" s="1" customFormat="1" x14ac:dyDescent="0.25">
      <c r="B1003" s="77"/>
      <c r="D1003" s="1" t="str">
        <f t="shared" si="33"/>
        <v/>
      </c>
      <c r="E1003" s="20"/>
      <c r="K1003" s="25"/>
      <c r="L1003" s="23"/>
      <c r="M1003" s="32"/>
    </row>
    <row r="1004" spans="2:13" s="1" customFormat="1" x14ac:dyDescent="0.25">
      <c r="B1004" s="77"/>
      <c r="D1004" s="1" t="str">
        <f t="shared" si="33"/>
        <v/>
      </c>
      <c r="E1004" s="20"/>
      <c r="K1004" s="25"/>
      <c r="L1004" s="23"/>
      <c r="M1004" s="32"/>
    </row>
    <row r="1005" spans="2:13" s="1" customFormat="1" x14ac:dyDescent="0.25">
      <c r="B1005" s="77"/>
      <c r="D1005" s="1" t="str">
        <f t="shared" si="33"/>
        <v/>
      </c>
      <c r="E1005" s="20"/>
      <c r="K1005" s="25"/>
      <c r="L1005" s="23"/>
      <c r="M1005" s="32"/>
    </row>
    <row r="1006" spans="2:13" s="1" customFormat="1" x14ac:dyDescent="0.25">
      <c r="B1006" s="77"/>
      <c r="D1006" s="1" t="str">
        <f t="shared" si="33"/>
        <v/>
      </c>
      <c r="E1006" s="20"/>
      <c r="K1006" s="25"/>
      <c r="L1006" s="23"/>
      <c r="M1006" s="32"/>
    </row>
    <row r="1007" spans="2:13" s="1" customFormat="1" x14ac:dyDescent="0.25">
      <c r="B1007" s="77"/>
      <c r="D1007" s="1" t="str">
        <f t="shared" si="33"/>
        <v/>
      </c>
      <c r="E1007" s="20"/>
      <c r="K1007" s="25"/>
      <c r="L1007" s="23"/>
      <c r="M1007" s="32"/>
    </row>
    <row r="1008" spans="2:13" s="1" customFormat="1" x14ac:dyDescent="0.25">
      <c r="B1008" s="77"/>
      <c r="D1008" s="1" t="str">
        <f t="shared" si="33"/>
        <v/>
      </c>
      <c r="E1008" s="20"/>
      <c r="K1008" s="25"/>
      <c r="L1008" s="23"/>
      <c r="M1008" s="32"/>
    </row>
    <row r="1009" spans="2:13" s="1" customFormat="1" x14ac:dyDescent="0.25">
      <c r="B1009" s="77"/>
      <c r="D1009" s="1" t="str">
        <f t="shared" si="33"/>
        <v/>
      </c>
      <c r="E1009" s="20"/>
      <c r="K1009" s="25"/>
      <c r="L1009" s="23"/>
      <c r="M1009" s="32"/>
    </row>
    <row r="1010" spans="2:13" s="1" customFormat="1" x14ac:dyDescent="0.25">
      <c r="B1010" s="77"/>
      <c r="D1010" s="1" t="str">
        <f t="shared" si="33"/>
        <v/>
      </c>
      <c r="E1010" s="20"/>
      <c r="K1010" s="25"/>
      <c r="L1010" s="23"/>
      <c r="M1010" s="32"/>
    </row>
    <row r="1011" spans="2:13" s="1" customFormat="1" x14ac:dyDescent="0.25">
      <c r="B1011" s="77"/>
      <c r="D1011" s="1" t="str">
        <f t="shared" si="33"/>
        <v/>
      </c>
      <c r="E1011" s="20"/>
      <c r="K1011" s="25"/>
      <c r="L1011" s="23"/>
      <c r="M1011" s="32"/>
    </row>
    <row r="1012" spans="2:13" s="1" customFormat="1" x14ac:dyDescent="0.25">
      <c r="B1012" s="77"/>
      <c r="D1012" s="1" t="str">
        <f t="shared" si="33"/>
        <v/>
      </c>
      <c r="E1012" s="20"/>
      <c r="K1012" s="25"/>
      <c r="L1012" s="23"/>
      <c r="M1012" s="32"/>
    </row>
    <row r="1013" spans="2:13" s="1" customFormat="1" x14ac:dyDescent="0.25">
      <c r="B1013" s="77"/>
      <c r="D1013" s="1" t="str">
        <f t="shared" si="33"/>
        <v/>
      </c>
      <c r="E1013" s="20"/>
      <c r="K1013" s="25"/>
      <c r="L1013" s="23"/>
      <c r="M1013" s="32"/>
    </row>
    <row r="1014" spans="2:13" s="1" customFormat="1" x14ac:dyDescent="0.25">
      <c r="B1014" s="77"/>
      <c r="D1014" s="1" t="str">
        <f t="shared" si="33"/>
        <v/>
      </c>
      <c r="E1014" s="20"/>
      <c r="K1014" s="25"/>
      <c r="L1014" s="23"/>
      <c r="M1014" s="32"/>
    </row>
    <row r="1015" spans="2:13" s="1" customFormat="1" x14ac:dyDescent="0.25">
      <c r="B1015" s="77"/>
      <c r="D1015" s="1" t="str">
        <f t="shared" si="33"/>
        <v/>
      </c>
      <c r="E1015" s="20"/>
      <c r="K1015" s="25"/>
      <c r="L1015" s="23"/>
      <c r="M1015" s="32"/>
    </row>
    <row r="1016" spans="2:13" s="1" customFormat="1" x14ac:dyDescent="0.25">
      <c r="B1016" s="77"/>
      <c r="D1016" s="1" t="str">
        <f t="shared" si="33"/>
        <v/>
      </c>
      <c r="E1016" s="20"/>
      <c r="K1016" s="25"/>
      <c r="L1016" s="23"/>
      <c r="M1016" s="32"/>
    </row>
    <row r="1017" spans="2:13" s="1" customFormat="1" x14ac:dyDescent="0.25">
      <c r="B1017" s="77"/>
      <c r="D1017" s="1" t="str">
        <f t="shared" si="33"/>
        <v/>
      </c>
      <c r="E1017" s="20"/>
      <c r="K1017" s="25"/>
      <c r="L1017" s="23"/>
      <c r="M1017" s="32"/>
    </row>
    <row r="1018" spans="2:13" s="1" customFormat="1" x14ac:dyDescent="0.25">
      <c r="B1018" s="77"/>
      <c r="D1018" s="1" t="str">
        <f t="shared" si="33"/>
        <v/>
      </c>
      <c r="E1018" s="20"/>
      <c r="K1018" s="25"/>
      <c r="L1018" s="23"/>
      <c r="M1018" s="32"/>
    </row>
    <row r="1019" spans="2:13" s="1" customFormat="1" x14ac:dyDescent="0.25">
      <c r="B1019" s="77"/>
      <c r="D1019" s="1" t="str">
        <f t="shared" si="33"/>
        <v/>
      </c>
      <c r="E1019" s="20"/>
      <c r="K1019" s="25"/>
      <c r="L1019" s="23"/>
      <c r="M1019" s="32"/>
    </row>
    <row r="1020" spans="2:13" s="1" customFormat="1" x14ac:dyDescent="0.25">
      <c r="B1020" s="77"/>
      <c r="D1020" s="1" t="str">
        <f t="shared" si="33"/>
        <v/>
      </c>
      <c r="E1020" s="20"/>
      <c r="K1020" s="25"/>
      <c r="L1020" s="23"/>
      <c r="M1020" s="32"/>
    </row>
    <row r="1021" spans="2:13" s="1" customFormat="1" x14ac:dyDescent="0.25">
      <c r="B1021" s="77"/>
      <c r="D1021" s="1" t="str">
        <f t="shared" si="33"/>
        <v/>
      </c>
      <c r="E1021" s="20"/>
      <c r="K1021" s="25"/>
      <c r="L1021" s="23"/>
      <c r="M1021" s="32"/>
    </row>
    <row r="1022" spans="2:13" s="1" customFormat="1" x14ac:dyDescent="0.25">
      <c r="B1022" s="77"/>
      <c r="D1022" s="1" t="str">
        <f t="shared" si="33"/>
        <v/>
      </c>
      <c r="E1022" s="20"/>
      <c r="K1022" s="25"/>
      <c r="L1022" s="23"/>
      <c r="M1022" s="32"/>
    </row>
    <row r="1023" spans="2:13" s="1" customFormat="1" x14ac:dyDescent="0.25">
      <c r="B1023" s="77"/>
      <c r="D1023" s="1" t="str">
        <f t="shared" si="33"/>
        <v/>
      </c>
      <c r="E1023" s="20"/>
      <c r="K1023" s="25"/>
      <c r="L1023" s="23"/>
      <c r="M1023" s="32"/>
    </row>
    <row r="1024" spans="2:13" s="1" customFormat="1" x14ac:dyDescent="0.25">
      <c r="B1024" s="77"/>
      <c r="D1024" s="1" t="str">
        <f t="shared" si="33"/>
        <v/>
      </c>
      <c r="E1024" s="20"/>
      <c r="K1024" s="25"/>
      <c r="L1024" s="23"/>
      <c r="M1024" s="32"/>
    </row>
    <row r="1025" spans="2:13" s="1" customFormat="1" x14ac:dyDescent="0.25">
      <c r="B1025" s="77"/>
      <c r="D1025" s="1" t="str">
        <f t="shared" si="33"/>
        <v/>
      </c>
      <c r="E1025" s="20"/>
      <c r="K1025" s="25"/>
      <c r="L1025" s="23"/>
      <c r="M1025" s="32"/>
    </row>
    <row r="1026" spans="2:13" s="1" customFormat="1" x14ac:dyDescent="0.25">
      <c r="B1026" s="77"/>
      <c r="D1026" s="1" t="str">
        <f t="shared" si="33"/>
        <v/>
      </c>
      <c r="E1026" s="20"/>
      <c r="K1026" s="25"/>
      <c r="L1026" s="23"/>
      <c r="M1026" s="32"/>
    </row>
    <row r="1027" spans="2:13" s="1" customFormat="1" x14ac:dyDescent="0.25">
      <c r="B1027" s="77"/>
      <c r="D1027" s="1" t="str">
        <f t="shared" si="33"/>
        <v/>
      </c>
      <c r="E1027" s="20"/>
      <c r="K1027" s="25"/>
      <c r="L1027" s="23"/>
      <c r="M1027" s="32"/>
    </row>
    <row r="1028" spans="2:13" s="1" customFormat="1" x14ac:dyDescent="0.25">
      <c r="B1028" s="77"/>
      <c r="D1028" s="1" t="str">
        <f t="shared" si="33"/>
        <v/>
      </c>
      <c r="E1028" s="20"/>
      <c r="K1028" s="25"/>
      <c r="L1028" s="23"/>
      <c r="M1028" s="32"/>
    </row>
    <row r="1029" spans="2:13" s="1" customFormat="1" x14ac:dyDescent="0.25">
      <c r="B1029" s="77"/>
      <c r="D1029" s="1" t="str">
        <f t="shared" si="33"/>
        <v/>
      </c>
      <c r="E1029" s="20"/>
      <c r="K1029" s="25"/>
      <c r="L1029" s="23"/>
      <c r="M1029" s="32"/>
    </row>
    <row r="1030" spans="2:13" s="1" customFormat="1" x14ac:dyDescent="0.25">
      <c r="B1030" s="77"/>
      <c r="D1030" s="1" t="str">
        <f t="shared" si="33"/>
        <v/>
      </c>
      <c r="E1030" s="20"/>
      <c r="K1030" s="25"/>
      <c r="L1030" s="23"/>
      <c r="M1030" s="32"/>
    </row>
    <row r="1031" spans="2:13" s="1" customFormat="1" x14ac:dyDescent="0.25">
      <c r="B1031" s="77"/>
      <c r="D1031" s="1" t="str">
        <f t="shared" si="33"/>
        <v/>
      </c>
      <c r="E1031" s="20"/>
      <c r="K1031" s="25"/>
      <c r="L1031" s="23"/>
      <c r="M1031" s="32"/>
    </row>
    <row r="1032" spans="2:13" s="1" customFormat="1" x14ac:dyDescent="0.25">
      <c r="B1032" s="77"/>
      <c r="D1032" s="1" t="str">
        <f t="shared" ref="D1032:D1095" si="34">IF(F1032&lt;&gt;"",RIGHT(F1032, LEN(F1032) - FIND(" - ", F1032) - 2),"")</f>
        <v/>
      </c>
      <c r="E1032" s="20"/>
      <c r="K1032" s="25"/>
      <c r="L1032" s="23"/>
      <c r="M1032" s="32"/>
    </row>
    <row r="1033" spans="2:13" s="1" customFormat="1" x14ac:dyDescent="0.25">
      <c r="B1033" s="77"/>
      <c r="D1033" s="1" t="str">
        <f t="shared" si="34"/>
        <v/>
      </c>
      <c r="E1033" s="20"/>
      <c r="K1033" s="25"/>
      <c r="L1033" s="23"/>
      <c r="M1033" s="32"/>
    </row>
    <row r="1034" spans="2:13" s="1" customFormat="1" x14ac:dyDescent="0.25">
      <c r="B1034" s="77"/>
      <c r="D1034" s="1" t="str">
        <f t="shared" si="34"/>
        <v/>
      </c>
      <c r="E1034" s="20"/>
      <c r="K1034" s="25"/>
      <c r="L1034" s="23"/>
      <c r="M1034" s="32"/>
    </row>
    <row r="1035" spans="2:13" s="1" customFormat="1" x14ac:dyDescent="0.25">
      <c r="B1035" s="77"/>
      <c r="D1035" s="1" t="str">
        <f t="shared" si="34"/>
        <v/>
      </c>
      <c r="E1035" s="20"/>
      <c r="K1035" s="25"/>
      <c r="L1035" s="23"/>
      <c r="M1035" s="32"/>
    </row>
    <row r="1036" spans="2:13" s="1" customFormat="1" x14ac:dyDescent="0.25">
      <c r="B1036" s="77"/>
      <c r="D1036" s="1" t="str">
        <f t="shared" si="34"/>
        <v/>
      </c>
      <c r="E1036" s="20"/>
      <c r="K1036" s="25"/>
      <c r="L1036" s="23"/>
      <c r="M1036" s="32"/>
    </row>
    <row r="1037" spans="2:13" s="1" customFormat="1" x14ac:dyDescent="0.25">
      <c r="B1037" s="77"/>
      <c r="D1037" s="1" t="str">
        <f t="shared" si="34"/>
        <v/>
      </c>
      <c r="E1037" s="20"/>
      <c r="K1037" s="25"/>
      <c r="L1037" s="23"/>
      <c r="M1037" s="32"/>
    </row>
    <row r="1038" spans="2:13" s="1" customFormat="1" x14ac:dyDescent="0.25">
      <c r="B1038" s="77"/>
      <c r="D1038" s="1" t="str">
        <f t="shared" si="34"/>
        <v/>
      </c>
      <c r="E1038" s="20"/>
      <c r="K1038" s="25"/>
      <c r="L1038" s="23"/>
      <c r="M1038" s="32"/>
    </row>
    <row r="1039" spans="2:13" s="1" customFormat="1" x14ac:dyDescent="0.25">
      <c r="B1039" s="77"/>
      <c r="D1039" s="1" t="str">
        <f t="shared" si="34"/>
        <v/>
      </c>
      <c r="E1039" s="20"/>
      <c r="K1039" s="25"/>
      <c r="L1039" s="23"/>
      <c r="M1039" s="32"/>
    </row>
    <row r="1040" spans="2:13" s="1" customFormat="1" x14ac:dyDescent="0.25">
      <c r="B1040" s="77"/>
      <c r="D1040" s="1" t="str">
        <f t="shared" si="34"/>
        <v/>
      </c>
      <c r="E1040" s="20"/>
      <c r="K1040" s="25"/>
      <c r="L1040" s="23"/>
      <c r="M1040" s="32"/>
    </row>
    <row r="1041" spans="2:13" s="1" customFormat="1" x14ac:dyDescent="0.25">
      <c r="B1041" s="77"/>
      <c r="D1041" s="1" t="str">
        <f t="shared" si="34"/>
        <v/>
      </c>
      <c r="E1041" s="20"/>
      <c r="K1041" s="25"/>
      <c r="L1041" s="23"/>
      <c r="M1041" s="32"/>
    </row>
    <row r="1042" spans="2:13" s="1" customFormat="1" x14ac:dyDescent="0.25">
      <c r="B1042" s="77"/>
      <c r="D1042" s="1" t="str">
        <f t="shared" si="34"/>
        <v/>
      </c>
      <c r="E1042" s="20"/>
      <c r="K1042" s="25"/>
      <c r="L1042" s="23"/>
      <c r="M1042" s="32"/>
    </row>
    <row r="1043" spans="2:13" s="1" customFormat="1" x14ac:dyDescent="0.25">
      <c r="B1043" s="77"/>
      <c r="D1043" s="1" t="str">
        <f t="shared" si="34"/>
        <v/>
      </c>
      <c r="E1043" s="20"/>
      <c r="K1043" s="25"/>
      <c r="L1043" s="23"/>
      <c r="M1043" s="32"/>
    </row>
    <row r="1044" spans="2:13" s="1" customFormat="1" x14ac:dyDescent="0.25">
      <c r="B1044" s="77"/>
      <c r="D1044" s="1" t="str">
        <f t="shared" si="34"/>
        <v/>
      </c>
      <c r="E1044" s="20"/>
      <c r="K1044" s="25"/>
      <c r="L1044" s="23"/>
      <c r="M1044" s="32"/>
    </row>
    <row r="1045" spans="2:13" s="1" customFormat="1" x14ac:dyDescent="0.25">
      <c r="B1045" s="77"/>
      <c r="D1045" s="1" t="str">
        <f t="shared" si="34"/>
        <v/>
      </c>
      <c r="E1045" s="20"/>
      <c r="K1045" s="25"/>
      <c r="L1045" s="23"/>
      <c r="M1045" s="32"/>
    </row>
    <row r="1046" spans="2:13" s="1" customFormat="1" x14ac:dyDescent="0.25">
      <c r="B1046" s="77"/>
      <c r="D1046" s="1" t="str">
        <f t="shared" si="34"/>
        <v/>
      </c>
      <c r="E1046" s="20"/>
      <c r="K1046" s="25"/>
      <c r="L1046" s="23"/>
      <c r="M1046" s="32"/>
    </row>
    <row r="1047" spans="2:13" s="1" customFormat="1" x14ac:dyDescent="0.25">
      <c r="B1047" s="77"/>
      <c r="D1047" s="1" t="str">
        <f t="shared" si="34"/>
        <v/>
      </c>
      <c r="E1047" s="20"/>
      <c r="K1047" s="25"/>
      <c r="L1047" s="23"/>
      <c r="M1047" s="32"/>
    </row>
    <row r="1048" spans="2:13" s="1" customFormat="1" x14ac:dyDescent="0.25">
      <c r="B1048" s="77"/>
      <c r="D1048" s="1" t="str">
        <f t="shared" si="34"/>
        <v/>
      </c>
      <c r="E1048" s="20"/>
      <c r="K1048" s="25"/>
      <c r="L1048" s="23"/>
      <c r="M1048" s="32"/>
    </row>
    <row r="1049" spans="2:13" s="1" customFormat="1" x14ac:dyDescent="0.25">
      <c r="B1049" s="77"/>
      <c r="D1049" s="1" t="str">
        <f t="shared" si="34"/>
        <v/>
      </c>
      <c r="E1049" s="20"/>
      <c r="K1049" s="25"/>
      <c r="L1049" s="23"/>
      <c r="M1049" s="32"/>
    </row>
    <row r="1050" spans="2:13" s="1" customFormat="1" x14ac:dyDescent="0.25">
      <c r="B1050" s="77"/>
      <c r="D1050" s="1" t="str">
        <f t="shared" si="34"/>
        <v/>
      </c>
      <c r="E1050" s="20"/>
      <c r="K1050" s="25"/>
      <c r="L1050" s="23"/>
      <c r="M1050" s="32"/>
    </row>
    <row r="1051" spans="2:13" s="1" customFormat="1" x14ac:dyDescent="0.25">
      <c r="B1051" s="77"/>
      <c r="D1051" s="1" t="str">
        <f t="shared" si="34"/>
        <v/>
      </c>
      <c r="E1051" s="20"/>
      <c r="K1051" s="25"/>
      <c r="L1051" s="23"/>
      <c r="M1051" s="32"/>
    </row>
    <row r="1052" spans="2:13" s="1" customFormat="1" x14ac:dyDescent="0.25">
      <c r="B1052" s="77"/>
      <c r="D1052" s="1" t="str">
        <f t="shared" si="34"/>
        <v/>
      </c>
      <c r="E1052" s="20"/>
      <c r="K1052" s="25"/>
      <c r="L1052" s="23"/>
      <c r="M1052" s="32"/>
    </row>
    <row r="1053" spans="2:13" s="1" customFormat="1" x14ac:dyDescent="0.25">
      <c r="B1053" s="77"/>
      <c r="D1053" s="1" t="str">
        <f t="shared" si="34"/>
        <v/>
      </c>
      <c r="E1053" s="20"/>
      <c r="K1053" s="25"/>
      <c r="L1053" s="23"/>
      <c r="M1053" s="32"/>
    </row>
    <row r="1054" spans="2:13" s="1" customFormat="1" x14ac:dyDescent="0.25">
      <c r="B1054" s="77"/>
      <c r="D1054" s="1" t="str">
        <f t="shared" si="34"/>
        <v/>
      </c>
      <c r="E1054" s="20"/>
      <c r="K1054" s="25"/>
      <c r="L1054" s="23"/>
      <c r="M1054" s="32"/>
    </row>
    <row r="1055" spans="2:13" s="1" customFormat="1" x14ac:dyDescent="0.25">
      <c r="B1055" s="77"/>
      <c r="D1055" s="1" t="str">
        <f t="shared" si="34"/>
        <v/>
      </c>
      <c r="E1055" s="20"/>
      <c r="K1055" s="25"/>
      <c r="L1055" s="23"/>
      <c r="M1055" s="32"/>
    </row>
    <row r="1056" spans="2:13" s="1" customFormat="1" x14ac:dyDescent="0.25">
      <c r="B1056" s="77"/>
      <c r="D1056" s="1" t="str">
        <f t="shared" si="34"/>
        <v/>
      </c>
      <c r="E1056" s="20"/>
      <c r="K1056" s="25"/>
      <c r="L1056" s="23"/>
      <c r="M1056" s="32"/>
    </row>
    <row r="1057" spans="2:13" s="1" customFormat="1" x14ac:dyDescent="0.25">
      <c r="B1057" s="77"/>
      <c r="D1057" s="1" t="str">
        <f t="shared" si="34"/>
        <v/>
      </c>
      <c r="E1057" s="20"/>
      <c r="K1057" s="25"/>
      <c r="L1057" s="23"/>
      <c r="M1057" s="32"/>
    </row>
    <row r="1058" spans="2:13" s="1" customFormat="1" x14ac:dyDescent="0.25">
      <c r="B1058" s="77"/>
      <c r="D1058" s="1" t="str">
        <f t="shared" si="34"/>
        <v/>
      </c>
      <c r="E1058" s="20"/>
      <c r="K1058" s="25"/>
      <c r="L1058" s="23"/>
      <c r="M1058" s="32"/>
    </row>
    <row r="1059" spans="2:13" s="1" customFormat="1" x14ac:dyDescent="0.25">
      <c r="B1059" s="77"/>
      <c r="D1059" s="1" t="str">
        <f t="shared" si="34"/>
        <v/>
      </c>
      <c r="E1059" s="20"/>
      <c r="K1059" s="25"/>
      <c r="L1059" s="23"/>
      <c r="M1059" s="32"/>
    </row>
    <row r="1060" spans="2:13" s="1" customFormat="1" x14ac:dyDescent="0.25">
      <c r="B1060" s="77"/>
      <c r="D1060" s="1" t="str">
        <f t="shared" si="34"/>
        <v/>
      </c>
      <c r="E1060" s="20"/>
      <c r="K1060" s="25"/>
      <c r="L1060" s="23"/>
      <c r="M1060" s="32"/>
    </row>
    <row r="1061" spans="2:13" s="1" customFormat="1" x14ac:dyDescent="0.25">
      <c r="B1061" s="77"/>
      <c r="D1061" s="1" t="str">
        <f t="shared" si="34"/>
        <v/>
      </c>
      <c r="E1061" s="20"/>
      <c r="K1061" s="25"/>
      <c r="L1061" s="23"/>
      <c r="M1061" s="32"/>
    </row>
    <row r="1062" spans="2:13" s="1" customFormat="1" x14ac:dyDescent="0.25">
      <c r="B1062" s="77"/>
      <c r="D1062" s="1" t="str">
        <f t="shared" si="34"/>
        <v/>
      </c>
      <c r="E1062" s="20"/>
      <c r="K1062" s="25"/>
      <c r="L1062" s="23"/>
      <c r="M1062" s="32"/>
    </row>
    <row r="1063" spans="2:13" s="1" customFormat="1" x14ac:dyDescent="0.25">
      <c r="B1063" s="77"/>
      <c r="D1063" s="1" t="str">
        <f t="shared" si="34"/>
        <v/>
      </c>
      <c r="E1063" s="20"/>
      <c r="K1063" s="25"/>
      <c r="L1063" s="23"/>
      <c r="M1063" s="32"/>
    </row>
    <row r="1064" spans="2:13" s="1" customFormat="1" x14ac:dyDescent="0.25">
      <c r="B1064" s="77"/>
      <c r="D1064" s="1" t="str">
        <f t="shared" si="34"/>
        <v/>
      </c>
      <c r="E1064" s="20"/>
      <c r="K1064" s="25"/>
      <c r="L1064" s="23"/>
      <c r="M1064" s="32"/>
    </row>
    <row r="1065" spans="2:13" s="1" customFormat="1" x14ac:dyDescent="0.25">
      <c r="B1065" s="77"/>
      <c r="D1065" s="1" t="str">
        <f t="shared" si="34"/>
        <v/>
      </c>
      <c r="E1065" s="20"/>
      <c r="K1065" s="25"/>
      <c r="L1065" s="23"/>
      <c r="M1065" s="32"/>
    </row>
    <row r="1066" spans="2:13" s="1" customFormat="1" x14ac:dyDescent="0.25">
      <c r="B1066" s="77"/>
      <c r="D1066" s="1" t="str">
        <f t="shared" si="34"/>
        <v/>
      </c>
      <c r="E1066" s="20"/>
      <c r="K1066" s="25"/>
      <c r="L1066" s="23"/>
      <c r="M1066" s="32"/>
    </row>
    <row r="1067" spans="2:13" s="1" customFormat="1" x14ac:dyDescent="0.25">
      <c r="B1067" s="77"/>
      <c r="D1067" s="1" t="str">
        <f t="shared" si="34"/>
        <v/>
      </c>
      <c r="E1067" s="20"/>
      <c r="K1067" s="25"/>
      <c r="L1067" s="23"/>
      <c r="M1067" s="32"/>
    </row>
    <row r="1068" spans="2:13" s="1" customFormat="1" x14ac:dyDescent="0.25">
      <c r="B1068" s="77"/>
      <c r="D1068" s="1" t="str">
        <f t="shared" si="34"/>
        <v/>
      </c>
      <c r="E1068" s="20"/>
      <c r="K1068" s="25"/>
      <c r="L1068" s="23"/>
      <c r="M1068" s="32"/>
    </row>
    <row r="1069" spans="2:13" s="1" customFormat="1" x14ac:dyDescent="0.25">
      <c r="B1069" s="77"/>
      <c r="D1069" s="1" t="str">
        <f t="shared" si="34"/>
        <v/>
      </c>
      <c r="E1069" s="20"/>
      <c r="K1069" s="25"/>
      <c r="L1069" s="23"/>
      <c r="M1069" s="32"/>
    </row>
    <row r="1070" spans="2:13" s="1" customFormat="1" x14ac:dyDescent="0.25">
      <c r="B1070" s="77"/>
      <c r="D1070" s="1" t="str">
        <f t="shared" si="34"/>
        <v/>
      </c>
      <c r="E1070" s="20"/>
      <c r="K1070" s="25"/>
      <c r="L1070" s="23"/>
      <c r="M1070" s="32"/>
    </row>
    <row r="1071" spans="2:13" s="1" customFormat="1" x14ac:dyDescent="0.25">
      <c r="B1071" s="77"/>
      <c r="D1071" s="1" t="str">
        <f t="shared" si="34"/>
        <v/>
      </c>
      <c r="E1071" s="20"/>
      <c r="K1071" s="25"/>
      <c r="L1071" s="23"/>
      <c r="M1071" s="32"/>
    </row>
    <row r="1072" spans="2:13" s="1" customFormat="1" x14ac:dyDescent="0.25">
      <c r="B1072" s="77"/>
      <c r="D1072" s="1" t="str">
        <f t="shared" si="34"/>
        <v/>
      </c>
      <c r="E1072" s="20"/>
      <c r="K1072" s="25"/>
      <c r="L1072" s="23"/>
      <c r="M1072" s="32"/>
    </row>
    <row r="1073" spans="2:13" s="1" customFormat="1" x14ac:dyDescent="0.25">
      <c r="B1073" s="77"/>
      <c r="D1073" s="1" t="str">
        <f t="shared" si="34"/>
        <v/>
      </c>
      <c r="E1073" s="20"/>
      <c r="K1073" s="25"/>
      <c r="L1073" s="23"/>
      <c r="M1073" s="32"/>
    </row>
    <row r="1074" spans="2:13" s="1" customFormat="1" x14ac:dyDescent="0.25">
      <c r="B1074" s="77"/>
      <c r="D1074" s="1" t="str">
        <f t="shared" si="34"/>
        <v/>
      </c>
      <c r="E1074" s="20"/>
      <c r="K1074" s="25"/>
      <c r="L1074" s="23"/>
      <c r="M1074" s="32"/>
    </row>
    <row r="1075" spans="2:13" s="1" customFormat="1" x14ac:dyDescent="0.25">
      <c r="B1075" s="77"/>
      <c r="D1075" s="1" t="str">
        <f t="shared" si="34"/>
        <v/>
      </c>
      <c r="E1075" s="20"/>
      <c r="K1075" s="25"/>
      <c r="L1075" s="23"/>
      <c r="M1075" s="32"/>
    </row>
    <row r="1076" spans="2:13" s="1" customFormat="1" x14ac:dyDescent="0.25">
      <c r="B1076" s="77"/>
      <c r="D1076" s="1" t="str">
        <f t="shared" si="34"/>
        <v/>
      </c>
      <c r="E1076" s="20"/>
      <c r="K1076" s="25"/>
      <c r="L1076" s="23"/>
      <c r="M1076" s="32"/>
    </row>
    <row r="1077" spans="2:13" s="1" customFormat="1" x14ac:dyDescent="0.25">
      <c r="B1077" s="77"/>
      <c r="D1077" s="1" t="str">
        <f t="shared" si="34"/>
        <v/>
      </c>
      <c r="E1077" s="20"/>
      <c r="K1077" s="25"/>
      <c r="L1077" s="23"/>
      <c r="M1077" s="32"/>
    </row>
    <row r="1078" spans="2:13" s="1" customFormat="1" x14ac:dyDescent="0.25">
      <c r="B1078" s="77"/>
      <c r="D1078" s="1" t="str">
        <f t="shared" si="34"/>
        <v/>
      </c>
      <c r="E1078" s="20"/>
      <c r="K1078" s="25"/>
      <c r="L1078" s="23"/>
      <c r="M1078" s="32"/>
    </row>
    <row r="1079" spans="2:13" s="1" customFormat="1" x14ac:dyDescent="0.25">
      <c r="B1079" s="77"/>
      <c r="D1079" s="1" t="str">
        <f t="shared" si="34"/>
        <v/>
      </c>
      <c r="E1079" s="20"/>
      <c r="K1079" s="25"/>
      <c r="L1079" s="23"/>
      <c r="M1079" s="32"/>
    </row>
    <row r="1080" spans="2:13" s="1" customFormat="1" x14ac:dyDescent="0.25">
      <c r="B1080" s="77"/>
      <c r="D1080" s="1" t="str">
        <f t="shared" si="34"/>
        <v/>
      </c>
      <c r="E1080" s="20"/>
      <c r="K1080" s="25"/>
      <c r="L1080" s="23"/>
      <c r="M1080" s="32"/>
    </row>
    <row r="1081" spans="2:13" s="1" customFormat="1" x14ac:dyDescent="0.25">
      <c r="B1081" s="77"/>
      <c r="D1081" s="1" t="str">
        <f t="shared" si="34"/>
        <v/>
      </c>
      <c r="E1081" s="20"/>
      <c r="K1081" s="25"/>
      <c r="L1081" s="23"/>
      <c r="M1081" s="32"/>
    </row>
    <row r="1082" spans="2:13" s="1" customFormat="1" x14ac:dyDescent="0.25">
      <c r="B1082" s="77"/>
      <c r="D1082" s="1" t="str">
        <f t="shared" si="34"/>
        <v/>
      </c>
      <c r="E1082" s="20"/>
      <c r="K1082" s="25"/>
      <c r="L1082" s="23"/>
      <c r="M1082" s="32"/>
    </row>
    <row r="1083" spans="2:13" s="1" customFormat="1" x14ac:dyDescent="0.25">
      <c r="B1083" s="77"/>
      <c r="D1083" s="1" t="str">
        <f t="shared" si="34"/>
        <v/>
      </c>
      <c r="E1083" s="20"/>
      <c r="K1083" s="25"/>
      <c r="L1083" s="23"/>
      <c r="M1083" s="32"/>
    </row>
    <row r="1084" spans="2:13" s="1" customFormat="1" x14ac:dyDescent="0.25">
      <c r="B1084" s="77"/>
      <c r="D1084" s="1" t="str">
        <f t="shared" si="34"/>
        <v/>
      </c>
      <c r="E1084" s="20"/>
      <c r="K1084" s="25"/>
      <c r="L1084" s="23"/>
      <c r="M1084" s="32"/>
    </row>
    <row r="1085" spans="2:13" s="1" customFormat="1" x14ac:dyDescent="0.25">
      <c r="B1085" s="77"/>
      <c r="D1085" s="1" t="str">
        <f t="shared" si="34"/>
        <v/>
      </c>
      <c r="E1085" s="20"/>
      <c r="K1085" s="25"/>
      <c r="L1085" s="23"/>
      <c r="M1085" s="32"/>
    </row>
    <row r="1086" spans="2:13" s="1" customFormat="1" x14ac:dyDescent="0.25">
      <c r="B1086" s="77"/>
      <c r="D1086" s="1" t="str">
        <f t="shared" si="34"/>
        <v/>
      </c>
      <c r="E1086" s="20"/>
      <c r="K1086" s="25"/>
      <c r="L1086" s="23"/>
      <c r="M1086" s="32"/>
    </row>
    <row r="1087" spans="2:13" s="1" customFormat="1" x14ac:dyDescent="0.25">
      <c r="B1087" s="77"/>
      <c r="D1087" s="1" t="str">
        <f t="shared" si="34"/>
        <v/>
      </c>
      <c r="E1087" s="20"/>
      <c r="K1087" s="25"/>
      <c r="L1087" s="23"/>
      <c r="M1087" s="32"/>
    </row>
    <row r="1088" spans="2:13" s="1" customFormat="1" x14ac:dyDescent="0.25">
      <c r="B1088" s="77"/>
      <c r="D1088" s="1" t="str">
        <f t="shared" si="34"/>
        <v/>
      </c>
      <c r="E1088" s="20"/>
      <c r="K1088" s="25"/>
      <c r="L1088" s="23"/>
      <c r="M1088" s="32"/>
    </row>
    <row r="1089" spans="2:13" s="1" customFormat="1" x14ac:dyDescent="0.25">
      <c r="B1089" s="77"/>
      <c r="D1089" s="1" t="str">
        <f t="shared" si="34"/>
        <v/>
      </c>
      <c r="E1089" s="20"/>
      <c r="K1089" s="25"/>
      <c r="L1089" s="23"/>
      <c r="M1089" s="32"/>
    </row>
    <row r="1090" spans="2:13" s="1" customFormat="1" x14ac:dyDescent="0.25">
      <c r="B1090" s="77"/>
      <c r="D1090" s="1" t="str">
        <f t="shared" si="34"/>
        <v/>
      </c>
      <c r="E1090" s="20"/>
      <c r="K1090" s="25"/>
      <c r="L1090" s="23"/>
      <c r="M1090" s="32"/>
    </row>
    <row r="1091" spans="2:13" s="1" customFormat="1" x14ac:dyDescent="0.25">
      <c r="B1091" s="77"/>
      <c r="D1091" s="1" t="str">
        <f t="shared" si="34"/>
        <v/>
      </c>
      <c r="E1091" s="20"/>
      <c r="K1091" s="25"/>
      <c r="L1091" s="23"/>
      <c r="M1091" s="32"/>
    </row>
    <row r="1092" spans="2:13" s="1" customFormat="1" x14ac:dyDescent="0.25">
      <c r="B1092" s="77"/>
      <c r="D1092" s="1" t="str">
        <f t="shared" si="34"/>
        <v/>
      </c>
      <c r="E1092" s="20"/>
      <c r="K1092" s="25"/>
      <c r="L1092" s="23"/>
      <c r="M1092" s="32"/>
    </row>
    <row r="1093" spans="2:13" s="1" customFormat="1" x14ac:dyDescent="0.25">
      <c r="B1093" s="77"/>
      <c r="D1093" s="1" t="str">
        <f t="shared" si="34"/>
        <v/>
      </c>
      <c r="E1093" s="20"/>
      <c r="K1093" s="25"/>
      <c r="L1093" s="23"/>
      <c r="M1093" s="32"/>
    </row>
    <row r="1094" spans="2:13" s="1" customFormat="1" x14ac:dyDescent="0.25">
      <c r="B1094" s="77"/>
      <c r="D1094" s="1" t="str">
        <f t="shared" si="34"/>
        <v/>
      </c>
      <c r="E1094" s="20"/>
      <c r="K1094" s="25"/>
      <c r="L1094" s="23"/>
      <c r="M1094" s="32"/>
    </row>
    <row r="1095" spans="2:13" s="1" customFormat="1" x14ac:dyDescent="0.25">
      <c r="B1095" s="77"/>
      <c r="D1095" s="1" t="str">
        <f t="shared" si="34"/>
        <v/>
      </c>
      <c r="E1095" s="20"/>
      <c r="K1095" s="25"/>
      <c r="L1095" s="23"/>
      <c r="M1095" s="32"/>
    </row>
    <row r="1096" spans="2:13" s="1" customFormat="1" x14ac:dyDescent="0.25">
      <c r="B1096" s="77"/>
      <c r="D1096" s="1" t="str">
        <f t="shared" ref="D1096:D1159" si="35">IF(F1096&lt;&gt;"",RIGHT(F1096, LEN(F1096) - FIND(" - ", F1096) - 2),"")</f>
        <v/>
      </c>
      <c r="E1096" s="20"/>
      <c r="K1096" s="25"/>
      <c r="L1096" s="23"/>
      <c r="M1096" s="32"/>
    </row>
    <row r="1097" spans="2:13" s="1" customFormat="1" x14ac:dyDescent="0.25">
      <c r="B1097" s="77"/>
      <c r="D1097" s="1" t="str">
        <f t="shared" si="35"/>
        <v/>
      </c>
      <c r="E1097" s="20"/>
      <c r="K1097" s="25"/>
      <c r="L1097" s="23"/>
      <c r="M1097" s="32"/>
    </row>
    <row r="1098" spans="2:13" s="1" customFormat="1" x14ac:dyDescent="0.25">
      <c r="B1098" s="77"/>
      <c r="D1098" s="1" t="str">
        <f t="shared" si="35"/>
        <v/>
      </c>
      <c r="E1098" s="20"/>
      <c r="K1098" s="25"/>
      <c r="L1098" s="23"/>
      <c r="M1098" s="32"/>
    </row>
    <row r="1099" spans="2:13" s="1" customFormat="1" x14ac:dyDescent="0.25">
      <c r="B1099" s="77"/>
      <c r="D1099" s="1" t="str">
        <f t="shared" si="35"/>
        <v/>
      </c>
      <c r="E1099" s="20"/>
      <c r="K1099" s="25"/>
      <c r="L1099" s="23"/>
      <c r="M1099" s="32"/>
    </row>
    <row r="1100" spans="2:13" s="1" customFormat="1" x14ac:dyDescent="0.25">
      <c r="B1100" s="77"/>
      <c r="D1100" s="1" t="str">
        <f t="shared" si="35"/>
        <v/>
      </c>
      <c r="E1100" s="20"/>
      <c r="K1100" s="25"/>
      <c r="L1100" s="23"/>
      <c r="M1100" s="32"/>
    </row>
    <row r="1101" spans="2:13" s="1" customFormat="1" x14ac:dyDescent="0.25">
      <c r="B1101" s="77"/>
      <c r="D1101" s="1" t="str">
        <f t="shared" si="35"/>
        <v/>
      </c>
      <c r="E1101" s="20"/>
      <c r="K1101" s="25"/>
      <c r="L1101" s="23"/>
      <c r="M1101" s="32"/>
    </row>
    <row r="1102" spans="2:13" s="1" customFormat="1" x14ac:dyDescent="0.25">
      <c r="B1102" s="77"/>
      <c r="D1102" s="1" t="str">
        <f t="shared" si="35"/>
        <v/>
      </c>
      <c r="E1102" s="20"/>
      <c r="K1102" s="25"/>
      <c r="L1102" s="23"/>
      <c r="M1102" s="32"/>
    </row>
    <row r="1103" spans="2:13" s="1" customFormat="1" x14ac:dyDescent="0.25">
      <c r="B1103" s="77"/>
      <c r="D1103" s="1" t="str">
        <f t="shared" si="35"/>
        <v/>
      </c>
      <c r="E1103" s="20"/>
      <c r="K1103" s="25"/>
      <c r="L1103" s="23"/>
      <c r="M1103" s="32"/>
    </row>
    <row r="1104" spans="2:13" s="1" customFormat="1" x14ac:dyDescent="0.25">
      <c r="B1104" s="77"/>
      <c r="D1104" s="1" t="str">
        <f t="shared" si="35"/>
        <v/>
      </c>
      <c r="E1104" s="20"/>
      <c r="K1104" s="25"/>
      <c r="L1104" s="23"/>
      <c r="M1104" s="32"/>
    </row>
    <row r="1105" spans="2:13" s="1" customFormat="1" x14ac:dyDescent="0.25">
      <c r="B1105" s="77"/>
      <c r="D1105" s="1" t="str">
        <f t="shared" si="35"/>
        <v/>
      </c>
      <c r="E1105" s="20"/>
      <c r="K1105" s="25"/>
      <c r="L1105" s="23"/>
      <c r="M1105" s="32"/>
    </row>
    <row r="1106" spans="2:13" s="1" customFormat="1" x14ac:dyDescent="0.25">
      <c r="B1106" s="77"/>
      <c r="D1106" s="1" t="str">
        <f t="shared" si="35"/>
        <v/>
      </c>
      <c r="E1106" s="20"/>
      <c r="K1106" s="25"/>
      <c r="L1106" s="23"/>
      <c r="M1106" s="32"/>
    </row>
    <row r="1107" spans="2:13" s="1" customFormat="1" x14ac:dyDescent="0.25">
      <c r="B1107" s="77"/>
      <c r="D1107" s="1" t="str">
        <f t="shared" si="35"/>
        <v/>
      </c>
      <c r="E1107" s="20"/>
      <c r="K1107" s="25"/>
      <c r="L1107" s="23"/>
      <c r="M1107" s="32"/>
    </row>
    <row r="1108" spans="2:13" s="1" customFormat="1" x14ac:dyDescent="0.25">
      <c r="B1108" s="77"/>
      <c r="D1108" s="1" t="str">
        <f t="shared" si="35"/>
        <v/>
      </c>
      <c r="E1108" s="20"/>
      <c r="K1108" s="25"/>
      <c r="L1108" s="23"/>
      <c r="M1108" s="32"/>
    </row>
    <row r="1109" spans="2:13" s="1" customFormat="1" x14ac:dyDescent="0.25">
      <c r="B1109" s="77"/>
      <c r="D1109" s="1" t="str">
        <f t="shared" si="35"/>
        <v/>
      </c>
      <c r="E1109" s="20"/>
      <c r="K1109" s="25"/>
      <c r="L1109" s="23"/>
      <c r="M1109" s="32"/>
    </row>
    <row r="1110" spans="2:13" s="1" customFormat="1" x14ac:dyDescent="0.25">
      <c r="B1110" s="77"/>
      <c r="D1110" s="1" t="str">
        <f t="shared" si="35"/>
        <v/>
      </c>
      <c r="E1110" s="20"/>
      <c r="K1110" s="25"/>
      <c r="L1110" s="23"/>
      <c r="M1110" s="32"/>
    </row>
    <row r="1111" spans="2:13" s="1" customFormat="1" x14ac:dyDescent="0.25">
      <c r="B1111" s="77"/>
      <c r="D1111" s="1" t="str">
        <f t="shared" si="35"/>
        <v/>
      </c>
      <c r="E1111" s="20"/>
      <c r="K1111" s="25"/>
      <c r="L1111" s="23"/>
      <c r="M1111" s="32"/>
    </row>
    <row r="1112" spans="2:13" s="1" customFormat="1" x14ac:dyDescent="0.25">
      <c r="B1112" s="77"/>
      <c r="D1112" s="1" t="str">
        <f t="shared" si="35"/>
        <v/>
      </c>
      <c r="E1112" s="20"/>
      <c r="K1112" s="25"/>
      <c r="L1112" s="23"/>
      <c r="M1112" s="32"/>
    </row>
    <row r="1113" spans="2:13" s="1" customFormat="1" x14ac:dyDescent="0.25">
      <c r="B1113" s="77"/>
      <c r="D1113" s="1" t="str">
        <f t="shared" si="35"/>
        <v/>
      </c>
      <c r="E1113" s="20"/>
      <c r="K1113" s="25"/>
      <c r="L1113" s="23"/>
      <c r="M1113" s="32"/>
    </row>
    <row r="1114" spans="2:13" s="1" customFormat="1" x14ac:dyDescent="0.25">
      <c r="B1114" s="77"/>
      <c r="D1114" s="1" t="str">
        <f t="shared" si="35"/>
        <v/>
      </c>
      <c r="E1114" s="20"/>
      <c r="K1114" s="25"/>
      <c r="L1114" s="23"/>
      <c r="M1114" s="32"/>
    </row>
    <row r="1115" spans="2:13" s="1" customFormat="1" x14ac:dyDescent="0.25">
      <c r="B1115" s="77"/>
      <c r="D1115" s="1" t="str">
        <f t="shared" si="35"/>
        <v/>
      </c>
      <c r="E1115" s="20"/>
      <c r="K1115" s="25"/>
      <c r="L1115" s="23"/>
      <c r="M1115" s="32"/>
    </row>
    <row r="1116" spans="2:13" s="1" customFormat="1" x14ac:dyDescent="0.25">
      <c r="B1116" s="77"/>
      <c r="D1116" s="1" t="str">
        <f t="shared" si="35"/>
        <v/>
      </c>
      <c r="E1116" s="20"/>
      <c r="K1116" s="25"/>
      <c r="L1116" s="23"/>
      <c r="M1116" s="32"/>
    </row>
    <row r="1117" spans="2:13" s="1" customFormat="1" x14ac:dyDescent="0.25">
      <c r="B1117" s="77"/>
      <c r="D1117" s="1" t="str">
        <f t="shared" si="35"/>
        <v/>
      </c>
      <c r="E1117" s="20"/>
      <c r="K1117" s="25"/>
      <c r="L1117" s="23"/>
      <c r="M1117" s="32"/>
    </row>
    <row r="1118" spans="2:13" s="1" customFormat="1" x14ac:dyDescent="0.25">
      <c r="B1118" s="77"/>
      <c r="D1118" s="1" t="str">
        <f t="shared" si="35"/>
        <v/>
      </c>
      <c r="E1118" s="20"/>
      <c r="K1118" s="25"/>
      <c r="L1118" s="23"/>
      <c r="M1118" s="32"/>
    </row>
    <row r="1119" spans="2:13" s="1" customFormat="1" x14ac:dyDescent="0.25">
      <c r="B1119" s="77"/>
      <c r="D1119" s="1" t="str">
        <f t="shared" si="35"/>
        <v/>
      </c>
      <c r="E1119" s="20"/>
      <c r="K1119" s="25"/>
      <c r="L1119" s="23"/>
      <c r="M1119" s="32"/>
    </row>
    <row r="1120" spans="2:13" s="1" customFormat="1" x14ac:dyDescent="0.25">
      <c r="B1120" s="77"/>
      <c r="D1120" s="1" t="str">
        <f t="shared" si="35"/>
        <v/>
      </c>
      <c r="E1120" s="20"/>
      <c r="K1120" s="25"/>
      <c r="L1120" s="23"/>
      <c r="M1120" s="32"/>
    </row>
    <row r="1121" spans="2:13" s="1" customFormat="1" x14ac:dyDescent="0.25">
      <c r="B1121" s="77"/>
      <c r="D1121" s="1" t="str">
        <f t="shared" si="35"/>
        <v/>
      </c>
      <c r="E1121" s="20"/>
      <c r="K1121" s="25"/>
      <c r="L1121" s="23"/>
      <c r="M1121" s="32"/>
    </row>
    <row r="1122" spans="2:13" s="1" customFormat="1" x14ac:dyDescent="0.25">
      <c r="B1122" s="77"/>
      <c r="D1122" s="1" t="str">
        <f t="shared" si="35"/>
        <v/>
      </c>
      <c r="E1122" s="20"/>
      <c r="K1122" s="25"/>
      <c r="L1122" s="23"/>
      <c r="M1122" s="32"/>
    </row>
    <row r="1123" spans="2:13" s="1" customFormat="1" x14ac:dyDescent="0.25">
      <c r="B1123" s="77"/>
      <c r="D1123" s="1" t="str">
        <f t="shared" si="35"/>
        <v/>
      </c>
      <c r="E1123" s="20"/>
      <c r="K1123" s="25"/>
      <c r="L1123" s="23"/>
      <c r="M1123" s="32"/>
    </row>
    <row r="1124" spans="2:13" s="1" customFormat="1" x14ac:dyDescent="0.25">
      <c r="B1124" s="77"/>
      <c r="D1124" s="1" t="str">
        <f t="shared" si="35"/>
        <v/>
      </c>
      <c r="E1124" s="20"/>
      <c r="K1124" s="25"/>
      <c r="L1124" s="23"/>
      <c r="M1124" s="32"/>
    </row>
    <row r="1125" spans="2:13" s="1" customFormat="1" x14ac:dyDescent="0.25">
      <c r="B1125" s="77"/>
      <c r="D1125" s="1" t="str">
        <f t="shared" si="35"/>
        <v/>
      </c>
      <c r="E1125" s="20"/>
      <c r="K1125" s="25"/>
      <c r="L1125" s="23"/>
      <c r="M1125" s="32"/>
    </row>
    <row r="1126" spans="2:13" s="1" customFormat="1" x14ac:dyDescent="0.25">
      <c r="B1126" s="77"/>
      <c r="D1126" s="1" t="str">
        <f t="shared" si="35"/>
        <v/>
      </c>
      <c r="E1126" s="20"/>
      <c r="K1126" s="25"/>
      <c r="L1126" s="23"/>
      <c r="M1126" s="32"/>
    </row>
    <row r="1127" spans="2:13" s="1" customFormat="1" x14ac:dyDescent="0.25">
      <c r="B1127" s="77"/>
      <c r="D1127" s="1" t="str">
        <f t="shared" si="35"/>
        <v/>
      </c>
      <c r="E1127" s="20"/>
      <c r="K1127" s="25"/>
      <c r="L1127" s="23"/>
      <c r="M1127" s="32"/>
    </row>
    <row r="1128" spans="2:13" s="1" customFormat="1" x14ac:dyDescent="0.25">
      <c r="B1128" s="77"/>
      <c r="D1128" s="1" t="str">
        <f t="shared" si="35"/>
        <v/>
      </c>
      <c r="E1128" s="20"/>
      <c r="K1128" s="25"/>
      <c r="L1128" s="23"/>
      <c r="M1128" s="32"/>
    </row>
    <row r="1129" spans="2:13" s="1" customFormat="1" x14ac:dyDescent="0.25">
      <c r="B1129" s="77"/>
      <c r="D1129" s="1" t="str">
        <f t="shared" si="35"/>
        <v/>
      </c>
      <c r="E1129" s="20"/>
      <c r="K1129" s="25"/>
      <c r="L1129" s="23"/>
      <c r="M1129" s="32"/>
    </row>
    <row r="1130" spans="2:13" s="1" customFormat="1" x14ac:dyDescent="0.25">
      <c r="B1130" s="77"/>
      <c r="D1130" s="1" t="str">
        <f t="shared" si="35"/>
        <v/>
      </c>
      <c r="E1130" s="20"/>
      <c r="K1130" s="25"/>
      <c r="L1130" s="23"/>
      <c r="M1130" s="32"/>
    </row>
    <row r="1131" spans="2:13" s="1" customFormat="1" x14ac:dyDescent="0.25">
      <c r="B1131" s="77"/>
      <c r="D1131" s="1" t="str">
        <f t="shared" si="35"/>
        <v/>
      </c>
      <c r="E1131" s="20"/>
      <c r="K1131" s="25"/>
      <c r="L1131" s="23"/>
      <c r="M1131" s="32"/>
    </row>
    <row r="1132" spans="2:13" s="1" customFormat="1" x14ac:dyDescent="0.25">
      <c r="B1132" s="77"/>
      <c r="D1132" s="1" t="str">
        <f t="shared" si="35"/>
        <v/>
      </c>
      <c r="E1132" s="20"/>
      <c r="K1132" s="25"/>
      <c r="L1132" s="23"/>
      <c r="M1132" s="32"/>
    </row>
    <row r="1133" spans="2:13" s="1" customFormat="1" x14ac:dyDescent="0.25">
      <c r="B1133" s="77"/>
      <c r="D1133" s="1" t="str">
        <f t="shared" si="35"/>
        <v/>
      </c>
      <c r="E1133" s="20"/>
      <c r="K1133" s="25"/>
      <c r="L1133" s="23"/>
      <c r="M1133" s="32"/>
    </row>
    <row r="1134" spans="2:13" s="1" customFormat="1" x14ac:dyDescent="0.25">
      <c r="B1134" s="77"/>
      <c r="D1134" s="1" t="str">
        <f t="shared" si="35"/>
        <v/>
      </c>
      <c r="E1134" s="20"/>
      <c r="K1134" s="25"/>
      <c r="L1134" s="23"/>
      <c r="M1134" s="32"/>
    </row>
    <row r="1135" spans="2:13" s="1" customFormat="1" x14ac:dyDescent="0.25">
      <c r="B1135" s="77"/>
      <c r="D1135" s="1" t="str">
        <f t="shared" si="35"/>
        <v/>
      </c>
      <c r="E1135" s="20"/>
      <c r="K1135" s="25"/>
      <c r="L1135" s="23"/>
      <c r="M1135" s="32"/>
    </row>
    <row r="1136" spans="2:13" s="1" customFormat="1" x14ac:dyDescent="0.25">
      <c r="B1136" s="77"/>
      <c r="D1136" s="1" t="str">
        <f t="shared" si="35"/>
        <v/>
      </c>
      <c r="E1136" s="20"/>
      <c r="K1136" s="25"/>
      <c r="L1136" s="23"/>
      <c r="M1136" s="32"/>
    </row>
    <row r="1137" spans="2:13" s="1" customFormat="1" x14ac:dyDescent="0.25">
      <c r="B1137" s="77"/>
      <c r="D1137" s="1" t="str">
        <f t="shared" si="35"/>
        <v/>
      </c>
      <c r="E1137" s="20"/>
      <c r="K1137" s="25"/>
      <c r="L1137" s="23"/>
      <c r="M1137" s="32"/>
    </row>
    <row r="1138" spans="2:13" s="1" customFormat="1" x14ac:dyDescent="0.25">
      <c r="B1138" s="77"/>
      <c r="D1138" s="1" t="str">
        <f t="shared" si="35"/>
        <v/>
      </c>
      <c r="E1138" s="20"/>
      <c r="K1138" s="25"/>
      <c r="L1138" s="23"/>
      <c r="M1138" s="32"/>
    </row>
    <row r="1139" spans="2:13" s="1" customFormat="1" x14ac:dyDescent="0.25">
      <c r="B1139" s="77"/>
      <c r="D1139" s="1" t="str">
        <f t="shared" si="35"/>
        <v/>
      </c>
      <c r="E1139" s="20"/>
      <c r="K1139" s="25"/>
      <c r="L1139" s="23"/>
      <c r="M1139" s="32"/>
    </row>
    <row r="1140" spans="2:13" s="1" customFormat="1" x14ac:dyDescent="0.25">
      <c r="B1140" s="77"/>
      <c r="D1140" s="1" t="str">
        <f t="shared" si="35"/>
        <v/>
      </c>
      <c r="E1140" s="20"/>
      <c r="K1140" s="25"/>
      <c r="L1140" s="23"/>
      <c r="M1140" s="32"/>
    </row>
    <row r="1141" spans="2:13" s="1" customFormat="1" x14ac:dyDescent="0.25">
      <c r="B1141" s="77"/>
      <c r="D1141" s="1" t="str">
        <f t="shared" si="35"/>
        <v/>
      </c>
      <c r="E1141" s="20"/>
      <c r="K1141" s="25"/>
      <c r="L1141" s="23"/>
      <c r="M1141" s="32"/>
    </row>
    <row r="1142" spans="2:13" s="1" customFormat="1" x14ac:dyDescent="0.25">
      <c r="B1142" s="77"/>
      <c r="D1142" s="1" t="str">
        <f t="shared" si="35"/>
        <v/>
      </c>
      <c r="E1142" s="20"/>
      <c r="K1142" s="25"/>
      <c r="L1142" s="23"/>
      <c r="M1142" s="32"/>
    </row>
    <row r="1143" spans="2:13" s="1" customFormat="1" x14ac:dyDescent="0.25">
      <c r="B1143" s="77"/>
      <c r="D1143" s="1" t="str">
        <f t="shared" si="35"/>
        <v/>
      </c>
      <c r="E1143" s="20"/>
      <c r="K1143" s="25"/>
      <c r="L1143" s="23"/>
      <c r="M1143" s="32"/>
    </row>
    <row r="1144" spans="2:13" s="1" customFormat="1" x14ac:dyDescent="0.25">
      <c r="B1144" s="77"/>
      <c r="D1144" s="1" t="str">
        <f t="shared" si="35"/>
        <v/>
      </c>
      <c r="E1144" s="20"/>
      <c r="K1144" s="25"/>
      <c r="L1144" s="23"/>
      <c r="M1144" s="32"/>
    </row>
    <row r="1145" spans="2:13" s="1" customFormat="1" x14ac:dyDescent="0.25">
      <c r="B1145" s="77"/>
      <c r="D1145" s="1" t="str">
        <f t="shared" si="35"/>
        <v/>
      </c>
      <c r="E1145" s="20"/>
      <c r="K1145" s="25"/>
      <c r="L1145" s="23"/>
      <c r="M1145" s="32"/>
    </row>
    <row r="1146" spans="2:13" s="1" customFormat="1" x14ac:dyDescent="0.25">
      <c r="B1146" s="77"/>
      <c r="D1146" s="1" t="str">
        <f t="shared" si="35"/>
        <v/>
      </c>
      <c r="E1146" s="20"/>
      <c r="K1146" s="25"/>
      <c r="L1146" s="23"/>
      <c r="M1146" s="32"/>
    </row>
    <row r="1147" spans="2:13" s="1" customFormat="1" x14ac:dyDescent="0.25">
      <c r="B1147" s="77"/>
      <c r="D1147" s="1" t="str">
        <f t="shared" si="35"/>
        <v/>
      </c>
      <c r="E1147" s="20"/>
      <c r="K1147" s="25"/>
      <c r="L1147" s="23"/>
      <c r="M1147" s="32"/>
    </row>
    <row r="1148" spans="2:13" s="1" customFormat="1" x14ac:dyDescent="0.25">
      <c r="B1148" s="77"/>
      <c r="D1148" s="1" t="str">
        <f t="shared" si="35"/>
        <v/>
      </c>
      <c r="E1148" s="20"/>
      <c r="K1148" s="25"/>
      <c r="L1148" s="23"/>
      <c r="M1148" s="32"/>
    </row>
    <row r="1149" spans="2:13" s="1" customFormat="1" x14ac:dyDescent="0.25">
      <c r="B1149" s="77"/>
      <c r="D1149" s="1" t="str">
        <f t="shared" si="35"/>
        <v/>
      </c>
      <c r="E1149" s="20"/>
      <c r="K1149" s="25"/>
      <c r="L1149" s="23"/>
      <c r="M1149" s="32"/>
    </row>
    <row r="1150" spans="2:13" s="1" customFormat="1" x14ac:dyDescent="0.25">
      <c r="B1150" s="77"/>
      <c r="D1150" s="1" t="str">
        <f t="shared" si="35"/>
        <v/>
      </c>
      <c r="E1150" s="20"/>
      <c r="K1150" s="25"/>
      <c r="L1150" s="23"/>
      <c r="M1150" s="32"/>
    </row>
    <row r="1151" spans="2:13" s="1" customFormat="1" x14ac:dyDescent="0.25">
      <c r="B1151" s="77"/>
      <c r="D1151" s="1" t="str">
        <f t="shared" si="35"/>
        <v/>
      </c>
      <c r="E1151" s="20"/>
      <c r="K1151" s="25"/>
      <c r="L1151" s="23"/>
      <c r="M1151" s="32"/>
    </row>
    <row r="1152" spans="2:13" s="1" customFormat="1" x14ac:dyDescent="0.25">
      <c r="B1152" s="77"/>
      <c r="D1152" s="1" t="str">
        <f t="shared" si="35"/>
        <v/>
      </c>
      <c r="E1152" s="20"/>
      <c r="K1152" s="25"/>
      <c r="L1152" s="23"/>
      <c r="M1152" s="32"/>
    </row>
    <row r="1153" spans="2:13" s="1" customFormat="1" x14ac:dyDescent="0.25">
      <c r="B1153" s="77"/>
      <c r="D1153" s="1" t="str">
        <f t="shared" si="35"/>
        <v/>
      </c>
      <c r="E1153" s="20"/>
      <c r="K1153" s="25"/>
      <c r="L1153" s="23"/>
      <c r="M1153" s="32"/>
    </row>
    <row r="1154" spans="2:13" s="1" customFormat="1" x14ac:dyDescent="0.25">
      <c r="B1154" s="77"/>
      <c r="D1154" s="1" t="str">
        <f t="shared" si="35"/>
        <v/>
      </c>
      <c r="E1154" s="20"/>
      <c r="K1154" s="25"/>
      <c r="L1154" s="23"/>
      <c r="M1154" s="32"/>
    </row>
    <row r="1155" spans="2:13" s="1" customFormat="1" x14ac:dyDescent="0.25">
      <c r="B1155" s="77"/>
      <c r="D1155" s="1" t="str">
        <f t="shared" si="35"/>
        <v/>
      </c>
      <c r="E1155" s="20"/>
      <c r="K1155" s="25"/>
      <c r="L1155" s="23"/>
      <c r="M1155" s="32"/>
    </row>
    <row r="1156" spans="2:13" s="1" customFormat="1" x14ac:dyDescent="0.25">
      <c r="B1156" s="77"/>
      <c r="D1156" s="1" t="str">
        <f t="shared" si="35"/>
        <v/>
      </c>
      <c r="E1156" s="20"/>
      <c r="K1156" s="25"/>
      <c r="L1156" s="23"/>
      <c r="M1156" s="32"/>
    </row>
    <row r="1157" spans="2:13" s="1" customFormat="1" x14ac:dyDescent="0.25">
      <c r="B1157" s="77"/>
      <c r="D1157" s="1" t="str">
        <f t="shared" si="35"/>
        <v/>
      </c>
      <c r="E1157" s="20"/>
      <c r="K1157" s="25"/>
      <c r="L1157" s="23"/>
      <c r="M1157" s="32"/>
    </row>
    <row r="1158" spans="2:13" s="1" customFormat="1" x14ac:dyDescent="0.25">
      <c r="B1158" s="77"/>
      <c r="D1158" s="1" t="str">
        <f t="shared" si="35"/>
        <v/>
      </c>
      <c r="E1158" s="20"/>
      <c r="K1158" s="25"/>
      <c r="L1158" s="23"/>
      <c r="M1158" s="32"/>
    </row>
    <row r="1159" spans="2:13" s="1" customFormat="1" x14ac:dyDescent="0.25">
      <c r="B1159" s="77"/>
      <c r="D1159" s="1" t="str">
        <f t="shared" si="35"/>
        <v/>
      </c>
      <c r="E1159" s="20"/>
      <c r="K1159" s="25"/>
      <c r="L1159" s="23"/>
      <c r="M1159" s="32"/>
    </row>
    <row r="1160" spans="2:13" s="1" customFormat="1" x14ac:dyDescent="0.25">
      <c r="B1160" s="77"/>
      <c r="D1160" s="1" t="str">
        <f t="shared" ref="D1160:D1223" si="36">IF(F1160&lt;&gt;"",RIGHT(F1160, LEN(F1160) - FIND(" - ", F1160) - 2),"")</f>
        <v/>
      </c>
      <c r="E1160" s="20"/>
      <c r="K1160" s="25"/>
      <c r="L1160" s="23"/>
      <c r="M1160" s="32"/>
    </row>
    <row r="1161" spans="2:13" s="1" customFormat="1" x14ac:dyDescent="0.25">
      <c r="B1161" s="77"/>
      <c r="D1161" s="1" t="str">
        <f t="shared" si="36"/>
        <v/>
      </c>
      <c r="E1161" s="20"/>
      <c r="K1161" s="25"/>
      <c r="L1161" s="23"/>
      <c r="M1161" s="32"/>
    </row>
    <row r="1162" spans="2:13" s="1" customFormat="1" x14ac:dyDescent="0.25">
      <c r="B1162" s="77"/>
      <c r="D1162" s="1" t="str">
        <f t="shared" si="36"/>
        <v/>
      </c>
      <c r="E1162" s="20"/>
      <c r="K1162" s="25"/>
      <c r="L1162" s="23"/>
      <c r="M1162" s="32"/>
    </row>
    <row r="1163" spans="2:13" s="1" customFormat="1" x14ac:dyDescent="0.25">
      <c r="B1163" s="77"/>
      <c r="D1163" s="1" t="str">
        <f t="shared" si="36"/>
        <v/>
      </c>
      <c r="E1163" s="20"/>
      <c r="K1163" s="25"/>
      <c r="L1163" s="23"/>
      <c r="M1163" s="32"/>
    </row>
    <row r="1164" spans="2:13" s="1" customFormat="1" x14ac:dyDescent="0.25">
      <c r="B1164" s="77"/>
      <c r="D1164" s="1" t="str">
        <f t="shared" si="36"/>
        <v/>
      </c>
      <c r="E1164" s="20"/>
      <c r="K1164" s="25"/>
      <c r="L1164" s="23"/>
      <c r="M1164" s="32"/>
    </row>
    <row r="1165" spans="2:13" s="1" customFormat="1" x14ac:dyDescent="0.25">
      <c r="B1165" s="77"/>
      <c r="D1165" s="1" t="str">
        <f t="shared" si="36"/>
        <v/>
      </c>
      <c r="E1165" s="20"/>
      <c r="K1165" s="25"/>
      <c r="L1165" s="23"/>
      <c r="M1165" s="32"/>
    </row>
    <row r="1166" spans="2:13" s="1" customFormat="1" x14ac:dyDescent="0.25">
      <c r="B1166" s="77"/>
      <c r="D1166" s="1" t="str">
        <f t="shared" si="36"/>
        <v/>
      </c>
      <c r="E1166" s="20"/>
      <c r="K1166" s="25"/>
      <c r="L1166" s="23"/>
      <c r="M1166" s="32"/>
    </row>
    <row r="1167" spans="2:13" s="1" customFormat="1" x14ac:dyDescent="0.25">
      <c r="B1167" s="77"/>
      <c r="D1167" s="1" t="str">
        <f t="shared" si="36"/>
        <v/>
      </c>
      <c r="E1167" s="20"/>
      <c r="K1167" s="25"/>
      <c r="L1167" s="23"/>
      <c r="M1167" s="32"/>
    </row>
    <row r="1168" spans="2:13" s="1" customFormat="1" x14ac:dyDescent="0.25">
      <c r="B1168" s="77"/>
      <c r="D1168" s="1" t="str">
        <f t="shared" si="36"/>
        <v/>
      </c>
      <c r="E1168" s="20"/>
      <c r="K1168" s="25"/>
      <c r="L1168" s="23"/>
      <c r="M1168" s="32"/>
    </row>
    <row r="1169" spans="2:13" s="1" customFormat="1" x14ac:dyDescent="0.25">
      <c r="B1169" s="77"/>
      <c r="D1169" s="1" t="str">
        <f t="shared" si="36"/>
        <v/>
      </c>
      <c r="E1169" s="20"/>
      <c r="K1169" s="25"/>
      <c r="L1169" s="23"/>
      <c r="M1169" s="32"/>
    </row>
    <row r="1170" spans="2:13" s="1" customFormat="1" x14ac:dyDescent="0.25">
      <c r="B1170" s="77"/>
      <c r="D1170" s="1" t="str">
        <f t="shared" si="36"/>
        <v/>
      </c>
      <c r="E1170" s="20"/>
      <c r="K1170" s="25"/>
      <c r="L1170" s="23"/>
      <c r="M1170" s="32"/>
    </row>
    <row r="1171" spans="2:13" s="1" customFormat="1" x14ac:dyDescent="0.25">
      <c r="B1171" s="77"/>
      <c r="D1171" s="1" t="str">
        <f t="shared" si="36"/>
        <v/>
      </c>
      <c r="E1171" s="20"/>
      <c r="K1171" s="25"/>
      <c r="L1171" s="23"/>
      <c r="M1171" s="32"/>
    </row>
    <row r="1172" spans="2:13" s="1" customFormat="1" x14ac:dyDescent="0.25">
      <c r="B1172" s="77"/>
      <c r="D1172" s="1" t="str">
        <f t="shared" si="36"/>
        <v/>
      </c>
      <c r="E1172" s="20"/>
      <c r="K1172" s="25"/>
      <c r="L1172" s="23"/>
      <c r="M1172" s="32"/>
    </row>
    <row r="1173" spans="2:13" s="1" customFormat="1" x14ac:dyDescent="0.25">
      <c r="B1173" s="77"/>
      <c r="D1173" s="1" t="str">
        <f t="shared" si="36"/>
        <v/>
      </c>
      <c r="E1173" s="20"/>
      <c r="K1173" s="25"/>
      <c r="L1173" s="23"/>
      <c r="M1173" s="32"/>
    </row>
    <row r="1174" spans="2:13" s="1" customFormat="1" x14ac:dyDescent="0.25">
      <c r="B1174" s="77"/>
      <c r="D1174" s="1" t="str">
        <f t="shared" si="36"/>
        <v/>
      </c>
      <c r="E1174" s="20"/>
      <c r="K1174" s="25"/>
      <c r="L1174" s="23"/>
      <c r="M1174" s="32"/>
    </row>
    <row r="1175" spans="2:13" s="1" customFormat="1" x14ac:dyDescent="0.25">
      <c r="B1175" s="77"/>
      <c r="D1175" s="1" t="str">
        <f t="shared" si="36"/>
        <v/>
      </c>
      <c r="E1175" s="20"/>
      <c r="K1175" s="25"/>
      <c r="L1175" s="23"/>
      <c r="M1175" s="32"/>
    </row>
    <row r="1176" spans="2:13" s="1" customFormat="1" x14ac:dyDescent="0.25">
      <c r="B1176" s="77"/>
      <c r="D1176" s="1" t="str">
        <f t="shared" si="36"/>
        <v/>
      </c>
      <c r="E1176" s="20"/>
      <c r="K1176" s="25"/>
      <c r="L1176" s="23"/>
      <c r="M1176" s="32"/>
    </row>
    <row r="1177" spans="2:13" s="1" customFormat="1" x14ac:dyDescent="0.25">
      <c r="B1177" s="77"/>
      <c r="D1177" s="1" t="str">
        <f t="shared" si="36"/>
        <v/>
      </c>
      <c r="E1177" s="20"/>
      <c r="K1177" s="25"/>
      <c r="L1177" s="23"/>
      <c r="M1177" s="32"/>
    </row>
    <row r="1178" spans="2:13" s="1" customFormat="1" x14ac:dyDescent="0.25">
      <c r="B1178" s="77"/>
      <c r="D1178" s="1" t="str">
        <f t="shared" si="36"/>
        <v/>
      </c>
      <c r="E1178" s="20"/>
      <c r="K1178" s="25"/>
      <c r="L1178" s="23"/>
      <c r="M1178" s="32"/>
    </row>
    <row r="1179" spans="2:13" s="1" customFormat="1" x14ac:dyDescent="0.25">
      <c r="B1179" s="77"/>
      <c r="D1179" s="1" t="str">
        <f t="shared" si="36"/>
        <v/>
      </c>
      <c r="E1179" s="20"/>
      <c r="K1179" s="25"/>
      <c r="L1179" s="23"/>
      <c r="M1179" s="32"/>
    </row>
    <row r="1180" spans="2:13" s="1" customFormat="1" x14ac:dyDescent="0.25">
      <c r="B1180" s="77"/>
      <c r="D1180" s="1" t="str">
        <f t="shared" si="36"/>
        <v/>
      </c>
      <c r="E1180" s="20"/>
      <c r="K1180" s="25"/>
      <c r="L1180" s="23"/>
      <c r="M1180" s="32"/>
    </row>
    <row r="1181" spans="2:13" s="1" customFormat="1" x14ac:dyDescent="0.25">
      <c r="B1181" s="77"/>
      <c r="D1181" s="1" t="str">
        <f t="shared" si="36"/>
        <v/>
      </c>
      <c r="E1181" s="20"/>
      <c r="K1181" s="25"/>
      <c r="L1181" s="23"/>
      <c r="M1181" s="32"/>
    </row>
    <row r="1182" spans="2:13" s="1" customFormat="1" x14ac:dyDescent="0.25">
      <c r="B1182" s="77"/>
      <c r="D1182" s="1" t="str">
        <f t="shared" si="36"/>
        <v/>
      </c>
      <c r="E1182" s="20"/>
      <c r="K1182" s="25"/>
      <c r="L1182" s="23"/>
      <c r="M1182" s="32"/>
    </row>
    <row r="1183" spans="2:13" s="1" customFormat="1" x14ac:dyDescent="0.25">
      <c r="B1183" s="77"/>
      <c r="D1183" s="1" t="str">
        <f t="shared" si="36"/>
        <v/>
      </c>
      <c r="E1183" s="20"/>
      <c r="K1183" s="25"/>
      <c r="L1183" s="23"/>
      <c r="M1183" s="32"/>
    </row>
    <row r="1184" spans="2:13" s="1" customFormat="1" x14ac:dyDescent="0.25">
      <c r="B1184" s="77"/>
      <c r="D1184" s="1" t="str">
        <f t="shared" si="36"/>
        <v/>
      </c>
      <c r="E1184" s="20"/>
      <c r="K1184" s="25"/>
      <c r="L1184" s="23"/>
      <c r="M1184" s="32"/>
    </row>
    <row r="1185" spans="2:13" s="1" customFormat="1" x14ac:dyDescent="0.25">
      <c r="B1185" s="77"/>
      <c r="D1185" s="1" t="str">
        <f t="shared" si="36"/>
        <v/>
      </c>
      <c r="E1185" s="20"/>
      <c r="K1185" s="25"/>
      <c r="L1185" s="23"/>
      <c r="M1185" s="32"/>
    </row>
    <row r="1186" spans="2:13" s="1" customFormat="1" x14ac:dyDescent="0.25">
      <c r="B1186" s="77"/>
      <c r="D1186" s="1" t="str">
        <f t="shared" si="36"/>
        <v/>
      </c>
      <c r="E1186" s="20"/>
      <c r="K1186" s="25"/>
      <c r="L1186" s="23"/>
      <c r="M1186" s="32"/>
    </row>
    <row r="1187" spans="2:13" s="1" customFormat="1" x14ac:dyDescent="0.25">
      <c r="B1187" s="77"/>
      <c r="D1187" s="1" t="str">
        <f t="shared" si="36"/>
        <v/>
      </c>
      <c r="E1187" s="20"/>
      <c r="K1187" s="25"/>
      <c r="L1187" s="23"/>
      <c r="M1187" s="32"/>
    </row>
    <row r="1188" spans="2:13" s="1" customFormat="1" x14ac:dyDescent="0.25">
      <c r="B1188" s="77"/>
      <c r="D1188" s="1" t="str">
        <f t="shared" si="36"/>
        <v/>
      </c>
      <c r="E1188" s="20"/>
      <c r="K1188" s="25"/>
      <c r="L1188" s="23"/>
      <c r="M1188" s="32"/>
    </row>
    <row r="1189" spans="2:13" s="1" customFormat="1" x14ac:dyDescent="0.25">
      <c r="B1189" s="77"/>
      <c r="D1189" s="1" t="str">
        <f t="shared" si="36"/>
        <v/>
      </c>
      <c r="E1189" s="20"/>
      <c r="K1189" s="25"/>
      <c r="L1189" s="23"/>
      <c r="M1189" s="32"/>
    </row>
    <row r="1190" spans="2:13" s="1" customFormat="1" x14ac:dyDescent="0.25">
      <c r="B1190" s="77"/>
      <c r="D1190" s="1" t="str">
        <f t="shared" si="36"/>
        <v/>
      </c>
      <c r="E1190" s="20"/>
      <c r="K1190" s="25"/>
      <c r="L1190" s="23"/>
      <c r="M1190" s="32"/>
    </row>
    <row r="1191" spans="2:13" s="1" customFormat="1" x14ac:dyDescent="0.25">
      <c r="B1191" s="77"/>
      <c r="D1191" s="1" t="str">
        <f t="shared" si="36"/>
        <v/>
      </c>
      <c r="E1191" s="20"/>
      <c r="K1191" s="25"/>
      <c r="L1191" s="23"/>
      <c r="M1191" s="32"/>
    </row>
    <row r="1192" spans="2:13" s="1" customFormat="1" x14ac:dyDescent="0.25">
      <c r="B1192" s="77"/>
      <c r="D1192" s="1" t="str">
        <f t="shared" si="36"/>
        <v/>
      </c>
      <c r="E1192" s="20"/>
      <c r="K1192" s="25"/>
      <c r="L1192" s="23"/>
      <c r="M1192" s="32"/>
    </row>
    <row r="1193" spans="2:13" s="1" customFormat="1" x14ac:dyDescent="0.25">
      <c r="B1193" s="77"/>
      <c r="D1193" s="1" t="str">
        <f t="shared" si="36"/>
        <v/>
      </c>
      <c r="E1193" s="20"/>
      <c r="K1193" s="25"/>
      <c r="L1193" s="23"/>
      <c r="M1193" s="32"/>
    </row>
    <row r="1194" spans="2:13" s="1" customFormat="1" x14ac:dyDescent="0.25">
      <c r="B1194" s="77"/>
      <c r="D1194" s="1" t="str">
        <f t="shared" si="36"/>
        <v/>
      </c>
      <c r="E1194" s="20"/>
      <c r="K1194" s="25"/>
      <c r="L1194" s="23"/>
      <c r="M1194" s="32"/>
    </row>
    <row r="1195" spans="2:13" s="1" customFormat="1" x14ac:dyDescent="0.25">
      <c r="B1195" s="77"/>
      <c r="D1195" s="1" t="str">
        <f t="shared" si="36"/>
        <v/>
      </c>
      <c r="E1195" s="20"/>
      <c r="K1195" s="25"/>
      <c r="L1195" s="23"/>
      <c r="M1195" s="32"/>
    </row>
    <row r="1196" spans="2:13" s="1" customFormat="1" x14ac:dyDescent="0.25">
      <c r="B1196" s="77"/>
      <c r="D1196" s="1" t="str">
        <f t="shared" si="36"/>
        <v/>
      </c>
      <c r="E1196" s="20"/>
      <c r="K1196" s="25"/>
      <c r="L1196" s="23"/>
      <c r="M1196" s="32"/>
    </row>
    <row r="1197" spans="2:13" s="1" customFormat="1" x14ac:dyDescent="0.25">
      <c r="B1197" s="77"/>
      <c r="D1197" s="1" t="str">
        <f t="shared" si="36"/>
        <v/>
      </c>
      <c r="E1197" s="20"/>
      <c r="K1197" s="25"/>
      <c r="L1197" s="23"/>
      <c r="M1197" s="32"/>
    </row>
    <row r="1198" spans="2:13" s="1" customFormat="1" x14ac:dyDescent="0.25">
      <c r="B1198" s="77"/>
      <c r="D1198" s="1" t="str">
        <f t="shared" si="36"/>
        <v/>
      </c>
      <c r="E1198" s="20"/>
      <c r="K1198" s="25"/>
      <c r="L1198" s="23"/>
      <c r="M1198" s="32"/>
    </row>
    <row r="1199" spans="2:13" s="1" customFormat="1" x14ac:dyDescent="0.25">
      <c r="B1199" s="77"/>
      <c r="D1199" s="1" t="str">
        <f t="shared" si="36"/>
        <v/>
      </c>
      <c r="E1199" s="20"/>
      <c r="K1199" s="25"/>
      <c r="L1199" s="23"/>
      <c r="M1199" s="32"/>
    </row>
    <row r="1200" spans="2:13" s="1" customFormat="1" x14ac:dyDescent="0.25">
      <c r="B1200" s="77"/>
      <c r="D1200" s="1" t="str">
        <f t="shared" si="36"/>
        <v/>
      </c>
      <c r="E1200" s="20"/>
      <c r="K1200" s="25"/>
      <c r="L1200" s="23"/>
      <c r="M1200" s="32"/>
    </row>
    <row r="1201" spans="2:13" s="1" customFormat="1" x14ac:dyDescent="0.25">
      <c r="B1201" s="77"/>
      <c r="D1201" s="1" t="str">
        <f t="shared" si="36"/>
        <v/>
      </c>
      <c r="E1201" s="20"/>
      <c r="K1201" s="25"/>
      <c r="L1201" s="23"/>
      <c r="M1201" s="32"/>
    </row>
    <row r="1202" spans="2:13" s="1" customFormat="1" x14ac:dyDescent="0.25">
      <c r="B1202" s="77"/>
      <c r="D1202" s="1" t="str">
        <f t="shared" si="36"/>
        <v/>
      </c>
      <c r="E1202" s="20"/>
      <c r="K1202" s="25"/>
      <c r="L1202" s="23"/>
      <c r="M1202" s="32"/>
    </row>
    <row r="1203" spans="2:13" s="1" customFormat="1" x14ac:dyDescent="0.25">
      <c r="B1203" s="77"/>
      <c r="D1203" s="1" t="str">
        <f t="shared" si="36"/>
        <v/>
      </c>
      <c r="E1203" s="20"/>
      <c r="K1203" s="25"/>
      <c r="L1203" s="23"/>
      <c r="M1203" s="32"/>
    </row>
    <row r="1204" spans="2:13" s="1" customFormat="1" x14ac:dyDescent="0.25">
      <c r="B1204" s="77"/>
      <c r="D1204" s="1" t="str">
        <f t="shared" si="36"/>
        <v/>
      </c>
      <c r="E1204" s="20"/>
      <c r="K1204" s="25"/>
      <c r="L1204" s="23"/>
      <c r="M1204" s="32"/>
    </row>
    <row r="1205" spans="2:13" s="1" customFormat="1" x14ac:dyDescent="0.25">
      <c r="B1205" s="77"/>
      <c r="D1205" s="1" t="str">
        <f t="shared" si="36"/>
        <v/>
      </c>
      <c r="E1205" s="20"/>
      <c r="K1205" s="25"/>
      <c r="L1205" s="23"/>
      <c r="M1205" s="32"/>
    </row>
    <row r="1206" spans="2:13" s="1" customFormat="1" x14ac:dyDescent="0.25">
      <c r="B1206" s="77"/>
      <c r="D1206" s="1" t="str">
        <f t="shared" si="36"/>
        <v/>
      </c>
      <c r="E1206" s="20"/>
      <c r="K1206" s="25"/>
      <c r="L1206" s="23"/>
      <c r="M1206" s="32"/>
    </row>
    <row r="1207" spans="2:13" s="1" customFormat="1" x14ac:dyDescent="0.25">
      <c r="B1207" s="77"/>
      <c r="D1207" s="1" t="str">
        <f t="shared" si="36"/>
        <v/>
      </c>
      <c r="E1207" s="20"/>
      <c r="K1207" s="25"/>
      <c r="L1207" s="23"/>
      <c r="M1207" s="32"/>
    </row>
    <row r="1208" spans="2:13" s="1" customFormat="1" x14ac:dyDescent="0.25">
      <c r="B1208" s="77"/>
      <c r="D1208" s="1" t="str">
        <f t="shared" si="36"/>
        <v/>
      </c>
      <c r="E1208" s="20"/>
      <c r="K1208" s="25"/>
      <c r="L1208" s="23"/>
      <c r="M1208" s="32"/>
    </row>
    <row r="1209" spans="2:13" s="1" customFormat="1" x14ac:dyDescent="0.25">
      <c r="B1209" s="77"/>
      <c r="D1209" s="1" t="str">
        <f t="shared" si="36"/>
        <v/>
      </c>
      <c r="E1209" s="20"/>
      <c r="K1209" s="25"/>
      <c r="L1209" s="23"/>
      <c r="M1209" s="32"/>
    </row>
    <row r="1210" spans="2:13" s="1" customFormat="1" x14ac:dyDescent="0.25">
      <c r="B1210" s="77"/>
      <c r="D1210" s="1" t="str">
        <f t="shared" si="36"/>
        <v/>
      </c>
      <c r="E1210" s="20"/>
      <c r="K1210" s="25"/>
      <c r="L1210" s="23"/>
      <c r="M1210" s="32"/>
    </row>
    <row r="1211" spans="2:13" s="1" customFormat="1" x14ac:dyDescent="0.25">
      <c r="B1211" s="77"/>
      <c r="D1211" s="1" t="str">
        <f t="shared" si="36"/>
        <v/>
      </c>
      <c r="E1211" s="20"/>
      <c r="K1211" s="25"/>
      <c r="L1211" s="23"/>
      <c r="M1211" s="32"/>
    </row>
    <row r="1212" spans="2:13" s="1" customFormat="1" x14ac:dyDescent="0.25">
      <c r="B1212" s="77"/>
      <c r="D1212" s="1" t="str">
        <f t="shared" si="36"/>
        <v/>
      </c>
      <c r="E1212" s="20"/>
      <c r="K1212" s="25"/>
      <c r="L1212" s="23"/>
      <c r="M1212" s="32"/>
    </row>
    <row r="1213" spans="2:13" s="1" customFormat="1" x14ac:dyDescent="0.25">
      <c r="B1213" s="77"/>
      <c r="D1213" s="1" t="str">
        <f t="shared" si="36"/>
        <v/>
      </c>
      <c r="E1213" s="20"/>
      <c r="K1213" s="25"/>
      <c r="L1213" s="23"/>
      <c r="M1213" s="32"/>
    </row>
    <row r="1214" spans="2:13" s="1" customFormat="1" x14ac:dyDescent="0.25">
      <c r="B1214" s="77"/>
      <c r="D1214" s="1" t="str">
        <f t="shared" si="36"/>
        <v/>
      </c>
      <c r="E1214" s="20"/>
      <c r="K1214" s="25"/>
      <c r="L1214" s="23"/>
      <c r="M1214" s="32"/>
    </row>
    <row r="1215" spans="2:13" s="1" customFormat="1" x14ac:dyDescent="0.25">
      <c r="B1215" s="77"/>
      <c r="D1215" s="1" t="str">
        <f t="shared" si="36"/>
        <v/>
      </c>
      <c r="E1215" s="20"/>
      <c r="K1215" s="25"/>
      <c r="L1215" s="23"/>
      <c r="M1215" s="32"/>
    </row>
    <row r="1216" spans="2:13" s="1" customFormat="1" x14ac:dyDescent="0.25">
      <c r="B1216" s="77"/>
      <c r="D1216" s="1" t="str">
        <f t="shared" si="36"/>
        <v/>
      </c>
      <c r="E1216" s="20"/>
      <c r="K1216" s="25"/>
      <c r="L1216" s="23"/>
      <c r="M1216" s="32"/>
    </row>
    <row r="1217" spans="2:13" s="1" customFormat="1" x14ac:dyDescent="0.25">
      <c r="B1217" s="77"/>
      <c r="D1217" s="1" t="str">
        <f t="shared" si="36"/>
        <v/>
      </c>
      <c r="E1217" s="20"/>
      <c r="K1217" s="25"/>
      <c r="L1217" s="23"/>
      <c r="M1217" s="32"/>
    </row>
    <row r="1218" spans="2:13" s="1" customFormat="1" x14ac:dyDescent="0.25">
      <c r="B1218" s="77"/>
      <c r="D1218" s="1" t="str">
        <f t="shared" si="36"/>
        <v/>
      </c>
      <c r="E1218" s="20"/>
      <c r="K1218" s="25"/>
      <c r="L1218" s="23"/>
      <c r="M1218" s="32"/>
    </row>
    <row r="1219" spans="2:13" s="1" customFormat="1" x14ac:dyDescent="0.25">
      <c r="B1219" s="77"/>
      <c r="D1219" s="1" t="str">
        <f t="shared" si="36"/>
        <v/>
      </c>
      <c r="E1219" s="20"/>
      <c r="K1219" s="25"/>
      <c r="L1219" s="23"/>
      <c r="M1219" s="32"/>
    </row>
    <row r="1220" spans="2:13" s="1" customFormat="1" x14ac:dyDescent="0.25">
      <c r="B1220" s="77"/>
      <c r="D1220" s="1" t="str">
        <f t="shared" si="36"/>
        <v/>
      </c>
      <c r="E1220" s="20"/>
      <c r="K1220" s="25"/>
      <c r="L1220" s="23"/>
      <c r="M1220" s="32"/>
    </row>
    <row r="1221" spans="2:13" s="1" customFormat="1" x14ac:dyDescent="0.25">
      <c r="B1221" s="77"/>
      <c r="D1221" s="1" t="str">
        <f t="shared" si="36"/>
        <v/>
      </c>
      <c r="E1221" s="20"/>
      <c r="K1221" s="25"/>
      <c r="L1221" s="23"/>
      <c r="M1221" s="32"/>
    </row>
    <row r="1222" spans="2:13" s="1" customFormat="1" x14ac:dyDescent="0.25">
      <c r="B1222" s="77"/>
      <c r="D1222" s="1" t="str">
        <f t="shared" si="36"/>
        <v/>
      </c>
      <c r="E1222" s="20"/>
      <c r="K1222" s="25"/>
      <c r="L1222" s="23"/>
      <c r="M1222" s="32"/>
    </row>
    <row r="1223" spans="2:13" s="1" customFormat="1" x14ac:dyDescent="0.25">
      <c r="B1223" s="77"/>
      <c r="D1223" s="1" t="str">
        <f t="shared" si="36"/>
        <v/>
      </c>
      <c r="E1223" s="20"/>
      <c r="K1223" s="25"/>
      <c r="L1223" s="23"/>
      <c r="M1223" s="32"/>
    </row>
    <row r="1224" spans="2:13" s="1" customFormat="1" x14ac:dyDescent="0.25">
      <c r="B1224" s="77"/>
      <c r="D1224" s="1" t="str">
        <f t="shared" ref="D1224:D1287" si="37">IF(F1224&lt;&gt;"",RIGHT(F1224, LEN(F1224) - FIND(" - ", F1224) - 2),"")</f>
        <v/>
      </c>
      <c r="E1224" s="20"/>
      <c r="K1224" s="25"/>
      <c r="L1224" s="23"/>
      <c r="M1224" s="32"/>
    </row>
    <row r="1225" spans="2:13" s="1" customFormat="1" x14ac:dyDescent="0.25">
      <c r="B1225" s="77"/>
      <c r="D1225" s="1" t="str">
        <f t="shared" si="37"/>
        <v/>
      </c>
      <c r="E1225" s="20"/>
      <c r="K1225" s="25"/>
      <c r="L1225" s="23"/>
      <c r="M1225" s="32"/>
    </row>
    <row r="1226" spans="2:13" s="1" customFormat="1" x14ac:dyDescent="0.25">
      <c r="B1226" s="77"/>
      <c r="D1226" s="1" t="str">
        <f t="shared" si="37"/>
        <v/>
      </c>
      <c r="E1226" s="20"/>
      <c r="K1226" s="25"/>
      <c r="L1226" s="23"/>
      <c r="M1226" s="32"/>
    </row>
    <row r="1227" spans="2:13" s="1" customFormat="1" x14ac:dyDescent="0.25">
      <c r="B1227" s="77"/>
      <c r="D1227" s="1" t="str">
        <f t="shared" si="37"/>
        <v/>
      </c>
      <c r="E1227" s="20"/>
      <c r="K1227" s="25"/>
      <c r="L1227" s="23"/>
      <c r="M1227" s="32"/>
    </row>
    <row r="1228" spans="2:13" s="1" customFormat="1" x14ac:dyDescent="0.25">
      <c r="B1228" s="77"/>
      <c r="D1228" s="1" t="str">
        <f t="shared" si="37"/>
        <v/>
      </c>
      <c r="E1228" s="20"/>
      <c r="K1228" s="25"/>
      <c r="L1228" s="23"/>
      <c r="M1228" s="32"/>
    </row>
    <row r="1229" spans="2:13" s="1" customFormat="1" x14ac:dyDescent="0.25">
      <c r="B1229" s="77"/>
      <c r="D1229" s="1" t="str">
        <f t="shared" si="37"/>
        <v/>
      </c>
      <c r="E1229" s="20"/>
      <c r="K1229" s="25"/>
      <c r="L1229" s="23"/>
      <c r="M1229" s="32"/>
    </row>
    <row r="1230" spans="2:13" s="1" customFormat="1" x14ac:dyDescent="0.25">
      <c r="B1230" s="77"/>
      <c r="D1230" s="1" t="str">
        <f t="shared" si="37"/>
        <v/>
      </c>
      <c r="E1230" s="20"/>
      <c r="K1230" s="25"/>
      <c r="L1230" s="23"/>
      <c r="M1230" s="32"/>
    </row>
    <row r="1231" spans="2:13" s="1" customFormat="1" x14ac:dyDescent="0.25">
      <c r="B1231" s="77"/>
      <c r="D1231" s="1" t="str">
        <f t="shared" si="37"/>
        <v/>
      </c>
      <c r="E1231" s="20"/>
      <c r="K1231" s="25"/>
      <c r="L1231" s="23"/>
      <c r="M1231" s="32"/>
    </row>
    <row r="1232" spans="2:13" s="1" customFormat="1" x14ac:dyDescent="0.25">
      <c r="B1232" s="77"/>
      <c r="D1232" s="1" t="str">
        <f t="shared" si="37"/>
        <v/>
      </c>
      <c r="E1232" s="20"/>
      <c r="K1232" s="25"/>
      <c r="L1232" s="23"/>
      <c r="M1232" s="32"/>
    </row>
    <row r="1233" spans="2:13" s="1" customFormat="1" x14ac:dyDescent="0.25">
      <c r="B1233" s="77"/>
      <c r="D1233" s="1" t="str">
        <f t="shared" si="37"/>
        <v/>
      </c>
      <c r="E1233" s="20"/>
      <c r="K1233" s="25"/>
      <c r="L1233" s="23"/>
      <c r="M1233" s="32"/>
    </row>
    <row r="1234" spans="2:13" s="1" customFormat="1" x14ac:dyDescent="0.25">
      <c r="B1234" s="77"/>
      <c r="D1234" s="1" t="str">
        <f t="shared" si="37"/>
        <v/>
      </c>
      <c r="E1234" s="20"/>
      <c r="K1234" s="25"/>
      <c r="L1234" s="23"/>
      <c r="M1234" s="32"/>
    </row>
    <row r="1235" spans="2:13" s="1" customFormat="1" x14ac:dyDescent="0.25">
      <c r="B1235" s="77"/>
      <c r="D1235" s="1" t="str">
        <f t="shared" si="37"/>
        <v/>
      </c>
      <c r="E1235" s="20"/>
      <c r="K1235" s="25"/>
      <c r="L1235" s="23"/>
      <c r="M1235" s="32"/>
    </row>
    <row r="1236" spans="2:13" s="1" customFormat="1" x14ac:dyDescent="0.25">
      <c r="B1236" s="77"/>
      <c r="D1236" s="1" t="str">
        <f t="shared" si="37"/>
        <v/>
      </c>
      <c r="E1236" s="20"/>
      <c r="K1236" s="25"/>
      <c r="L1236" s="23"/>
      <c r="M1236" s="32"/>
    </row>
    <row r="1237" spans="2:13" s="1" customFormat="1" x14ac:dyDescent="0.25">
      <c r="B1237" s="77"/>
      <c r="D1237" s="1" t="str">
        <f t="shared" si="37"/>
        <v/>
      </c>
      <c r="E1237" s="20"/>
      <c r="K1237" s="25"/>
      <c r="L1237" s="23"/>
      <c r="M1237" s="32"/>
    </row>
    <row r="1238" spans="2:13" s="1" customFormat="1" x14ac:dyDescent="0.25">
      <c r="B1238" s="77"/>
      <c r="D1238" s="1" t="str">
        <f t="shared" si="37"/>
        <v/>
      </c>
      <c r="E1238" s="20"/>
      <c r="K1238" s="25"/>
      <c r="L1238" s="23"/>
      <c r="M1238" s="32"/>
    </row>
    <row r="1239" spans="2:13" s="1" customFormat="1" x14ac:dyDescent="0.25">
      <c r="B1239" s="77"/>
      <c r="D1239" s="1" t="str">
        <f t="shared" si="37"/>
        <v/>
      </c>
      <c r="E1239" s="20"/>
      <c r="K1239" s="25"/>
      <c r="L1239" s="23"/>
      <c r="M1239" s="32"/>
    </row>
    <row r="1240" spans="2:13" s="1" customFormat="1" x14ac:dyDescent="0.25">
      <c r="B1240" s="77"/>
      <c r="D1240" s="1" t="str">
        <f t="shared" si="37"/>
        <v/>
      </c>
      <c r="E1240" s="20"/>
      <c r="K1240" s="25"/>
      <c r="L1240" s="23"/>
      <c r="M1240" s="32"/>
    </row>
    <row r="1241" spans="2:13" s="1" customFormat="1" x14ac:dyDescent="0.25">
      <c r="B1241" s="77"/>
      <c r="D1241" s="1" t="str">
        <f t="shared" si="37"/>
        <v/>
      </c>
      <c r="E1241" s="20"/>
      <c r="K1241" s="25"/>
      <c r="L1241" s="23"/>
      <c r="M1241" s="32"/>
    </row>
    <row r="1242" spans="2:13" s="1" customFormat="1" x14ac:dyDescent="0.25">
      <c r="B1242" s="77"/>
      <c r="D1242" s="1" t="str">
        <f t="shared" si="37"/>
        <v/>
      </c>
      <c r="E1242" s="20"/>
      <c r="K1242" s="25"/>
      <c r="L1242" s="23"/>
      <c r="M1242" s="32"/>
    </row>
    <row r="1243" spans="2:13" s="1" customFormat="1" x14ac:dyDescent="0.25">
      <c r="B1243" s="77"/>
      <c r="D1243" s="1" t="str">
        <f t="shared" si="37"/>
        <v/>
      </c>
      <c r="E1243" s="20"/>
      <c r="K1243" s="25"/>
      <c r="L1243" s="23"/>
      <c r="M1243" s="32"/>
    </row>
    <row r="1244" spans="2:13" s="1" customFormat="1" x14ac:dyDescent="0.25">
      <c r="B1244" s="77"/>
      <c r="D1244" s="1" t="str">
        <f t="shared" si="37"/>
        <v/>
      </c>
      <c r="E1244" s="20"/>
      <c r="K1244" s="25"/>
      <c r="L1244" s="23"/>
      <c r="M1244" s="32"/>
    </row>
    <row r="1245" spans="2:13" s="1" customFormat="1" x14ac:dyDescent="0.25">
      <c r="B1245" s="77"/>
      <c r="D1245" s="1" t="str">
        <f t="shared" si="37"/>
        <v/>
      </c>
      <c r="E1245" s="20"/>
      <c r="K1245" s="25"/>
      <c r="L1245" s="23"/>
      <c r="M1245" s="32"/>
    </row>
    <row r="1246" spans="2:13" s="1" customFormat="1" x14ac:dyDescent="0.25">
      <c r="B1246" s="77"/>
      <c r="D1246" s="1" t="str">
        <f t="shared" si="37"/>
        <v/>
      </c>
      <c r="E1246" s="20"/>
      <c r="K1246" s="25"/>
      <c r="L1246" s="23"/>
      <c r="M1246" s="32"/>
    </row>
    <row r="1247" spans="2:13" s="1" customFormat="1" x14ac:dyDescent="0.25">
      <c r="B1247" s="77"/>
      <c r="D1247" s="1" t="str">
        <f t="shared" si="37"/>
        <v/>
      </c>
      <c r="E1247" s="20"/>
      <c r="K1247" s="25"/>
      <c r="L1247" s="23"/>
      <c r="M1247" s="32"/>
    </row>
    <row r="1248" spans="2:13" s="1" customFormat="1" x14ac:dyDescent="0.25">
      <c r="B1248" s="77"/>
      <c r="D1248" s="1" t="str">
        <f t="shared" si="37"/>
        <v/>
      </c>
      <c r="E1248" s="20"/>
      <c r="K1248" s="25"/>
      <c r="L1248" s="23"/>
      <c r="M1248" s="32"/>
    </row>
    <row r="1249" spans="2:13" s="1" customFormat="1" x14ac:dyDescent="0.25">
      <c r="B1249" s="77"/>
      <c r="D1249" s="1" t="str">
        <f t="shared" si="37"/>
        <v/>
      </c>
      <c r="E1249" s="20"/>
      <c r="K1249" s="25"/>
      <c r="L1249" s="23"/>
      <c r="M1249" s="32"/>
    </row>
    <row r="1250" spans="2:13" s="1" customFormat="1" x14ac:dyDescent="0.25">
      <c r="B1250" s="77"/>
      <c r="D1250" s="1" t="str">
        <f t="shared" si="37"/>
        <v/>
      </c>
      <c r="E1250" s="20"/>
      <c r="K1250" s="25"/>
      <c r="L1250" s="23"/>
      <c r="M1250" s="32"/>
    </row>
    <row r="1251" spans="2:13" s="1" customFormat="1" x14ac:dyDescent="0.25">
      <c r="B1251" s="77"/>
      <c r="D1251" s="1" t="str">
        <f t="shared" si="37"/>
        <v/>
      </c>
      <c r="E1251" s="20"/>
      <c r="K1251" s="25"/>
      <c r="L1251" s="23"/>
      <c r="M1251" s="32"/>
    </row>
    <row r="1252" spans="2:13" s="1" customFormat="1" x14ac:dyDescent="0.25">
      <c r="B1252" s="77"/>
      <c r="D1252" s="1" t="str">
        <f t="shared" si="37"/>
        <v/>
      </c>
      <c r="E1252" s="20"/>
      <c r="K1252" s="25"/>
      <c r="L1252" s="23"/>
      <c r="M1252" s="32"/>
    </row>
    <row r="1253" spans="2:13" s="1" customFormat="1" x14ac:dyDescent="0.25">
      <c r="B1253" s="77"/>
      <c r="D1253" s="1" t="str">
        <f t="shared" si="37"/>
        <v/>
      </c>
      <c r="E1253" s="20"/>
      <c r="K1253" s="25"/>
      <c r="L1253" s="23"/>
      <c r="M1253" s="32"/>
    </row>
    <row r="1254" spans="2:13" s="1" customFormat="1" x14ac:dyDescent="0.25">
      <c r="B1254" s="77"/>
      <c r="D1254" s="1" t="str">
        <f t="shared" si="37"/>
        <v/>
      </c>
      <c r="E1254" s="20"/>
      <c r="K1254" s="25"/>
      <c r="L1254" s="23"/>
      <c r="M1254" s="32"/>
    </row>
    <row r="1255" spans="2:13" s="1" customFormat="1" x14ac:dyDescent="0.25">
      <c r="B1255" s="77"/>
      <c r="D1255" s="1" t="str">
        <f t="shared" si="37"/>
        <v/>
      </c>
      <c r="E1255" s="20"/>
      <c r="K1255" s="25"/>
      <c r="L1255" s="23"/>
      <c r="M1255" s="32"/>
    </row>
    <row r="1256" spans="2:13" s="1" customFormat="1" x14ac:dyDescent="0.25">
      <c r="B1256" s="77"/>
      <c r="D1256" s="1" t="str">
        <f t="shared" si="37"/>
        <v/>
      </c>
      <c r="E1256" s="20"/>
      <c r="K1256" s="25"/>
      <c r="L1256" s="23"/>
      <c r="M1256" s="32"/>
    </row>
    <row r="1257" spans="2:13" s="1" customFormat="1" x14ac:dyDescent="0.25">
      <c r="B1257" s="77"/>
      <c r="D1257" s="1" t="str">
        <f t="shared" si="37"/>
        <v/>
      </c>
      <c r="E1257" s="20"/>
      <c r="K1257" s="25"/>
      <c r="L1257" s="23"/>
      <c r="M1257" s="32"/>
    </row>
    <row r="1258" spans="2:13" s="1" customFormat="1" x14ac:dyDescent="0.25">
      <c r="B1258" s="77"/>
      <c r="D1258" s="1" t="str">
        <f t="shared" si="37"/>
        <v/>
      </c>
      <c r="E1258" s="20"/>
      <c r="K1258" s="25"/>
      <c r="L1258" s="23"/>
      <c r="M1258" s="32"/>
    </row>
    <row r="1259" spans="2:13" s="1" customFormat="1" x14ac:dyDescent="0.25">
      <c r="B1259" s="77"/>
      <c r="D1259" s="1" t="str">
        <f t="shared" si="37"/>
        <v/>
      </c>
      <c r="E1259" s="20"/>
      <c r="K1259" s="25"/>
      <c r="L1259" s="23"/>
      <c r="M1259" s="32"/>
    </row>
    <row r="1260" spans="2:13" s="1" customFormat="1" x14ac:dyDescent="0.25">
      <c r="B1260" s="77"/>
      <c r="D1260" s="1" t="str">
        <f t="shared" si="37"/>
        <v/>
      </c>
      <c r="E1260" s="20"/>
      <c r="K1260" s="25"/>
      <c r="L1260" s="23"/>
      <c r="M1260" s="32"/>
    </row>
    <row r="1261" spans="2:13" s="1" customFormat="1" x14ac:dyDescent="0.25">
      <c r="B1261" s="77"/>
      <c r="D1261" s="1" t="str">
        <f t="shared" si="37"/>
        <v/>
      </c>
      <c r="E1261" s="20"/>
      <c r="K1261" s="25"/>
      <c r="L1261" s="23"/>
      <c r="M1261" s="32"/>
    </row>
    <row r="1262" spans="2:13" s="1" customFormat="1" x14ac:dyDescent="0.25">
      <c r="B1262" s="77"/>
      <c r="D1262" s="1" t="str">
        <f t="shared" si="37"/>
        <v/>
      </c>
      <c r="E1262" s="20"/>
      <c r="K1262" s="25"/>
      <c r="L1262" s="23"/>
      <c r="M1262" s="32"/>
    </row>
    <row r="1263" spans="2:13" s="1" customFormat="1" x14ac:dyDescent="0.25">
      <c r="B1263" s="77"/>
      <c r="D1263" s="1" t="str">
        <f t="shared" si="37"/>
        <v/>
      </c>
      <c r="E1263" s="20"/>
      <c r="K1263" s="25"/>
      <c r="L1263" s="23"/>
      <c r="M1263" s="32"/>
    </row>
    <row r="1264" spans="2:13" s="1" customFormat="1" x14ac:dyDescent="0.25">
      <c r="B1264" s="77"/>
      <c r="D1264" s="1" t="str">
        <f t="shared" si="37"/>
        <v/>
      </c>
      <c r="E1264" s="20"/>
      <c r="K1264" s="25"/>
      <c r="L1264" s="23"/>
      <c r="M1264" s="32"/>
    </row>
    <row r="1265" spans="2:13" s="1" customFormat="1" x14ac:dyDescent="0.25">
      <c r="B1265" s="77"/>
      <c r="D1265" s="1" t="str">
        <f t="shared" si="37"/>
        <v/>
      </c>
      <c r="E1265" s="20"/>
      <c r="K1265" s="25"/>
      <c r="L1265" s="23"/>
      <c r="M1265" s="32"/>
    </row>
    <row r="1266" spans="2:13" s="1" customFormat="1" x14ac:dyDescent="0.25">
      <c r="B1266" s="77"/>
      <c r="D1266" s="1" t="str">
        <f t="shared" si="37"/>
        <v/>
      </c>
      <c r="E1266" s="20"/>
      <c r="K1266" s="25"/>
      <c r="L1266" s="23"/>
      <c r="M1266" s="32"/>
    </row>
    <row r="1267" spans="2:13" s="1" customFormat="1" x14ac:dyDescent="0.25">
      <c r="B1267" s="77"/>
      <c r="D1267" s="1" t="str">
        <f t="shared" si="37"/>
        <v/>
      </c>
      <c r="E1267" s="20"/>
      <c r="K1267" s="25"/>
      <c r="L1267" s="23"/>
      <c r="M1267" s="32"/>
    </row>
    <row r="1268" spans="2:13" s="1" customFormat="1" x14ac:dyDescent="0.25">
      <c r="B1268" s="77"/>
      <c r="D1268" s="1" t="str">
        <f t="shared" si="37"/>
        <v/>
      </c>
      <c r="E1268" s="20"/>
      <c r="K1268" s="25"/>
      <c r="L1268" s="23"/>
      <c r="M1268" s="32"/>
    </row>
    <row r="1269" spans="2:13" s="1" customFormat="1" x14ac:dyDescent="0.25">
      <c r="B1269" s="77"/>
      <c r="D1269" s="1" t="str">
        <f t="shared" si="37"/>
        <v/>
      </c>
      <c r="E1269" s="20"/>
      <c r="K1269" s="25"/>
      <c r="L1269" s="23"/>
      <c r="M1269" s="32"/>
    </row>
    <row r="1270" spans="2:13" s="1" customFormat="1" x14ac:dyDescent="0.25">
      <c r="B1270" s="77"/>
      <c r="D1270" s="1" t="str">
        <f t="shared" si="37"/>
        <v/>
      </c>
      <c r="E1270" s="20"/>
      <c r="K1270" s="25"/>
      <c r="L1270" s="23"/>
      <c r="M1270" s="32"/>
    </row>
    <row r="1271" spans="2:13" s="1" customFormat="1" x14ac:dyDescent="0.25">
      <c r="B1271" s="77"/>
      <c r="D1271" s="1" t="str">
        <f t="shared" si="37"/>
        <v/>
      </c>
      <c r="E1271" s="20"/>
      <c r="K1271" s="25"/>
      <c r="L1271" s="23"/>
      <c r="M1271" s="32"/>
    </row>
    <row r="1272" spans="2:13" s="1" customFormat="1" x14ac:dyDescent="0.25">
      <c r="B1272" s="77"/>
      <c r="D1272" s="1" t="str">
        <f t="shared" si="37"/>
        <v/>
      </c>
      <c r="E1272" s="20"/>
      <c r="K1272" s="25"/>
      <c r="L1272" s="23"/>
      <c r="M1272" s="32"/>
    </row>
    <row r="1273" spans="2:13" s="1" customFormat="1" x14ac:dyDescent="0.25">
      <c r="B1273" s="77"/>
      <c r="D1273" s="1" t="str">
        <f t="shared" si="37"/>
        <v/>
      </c>
      <c r="E1273" s="20"/>
      <c r="K1273" s="25"/>
      <c r="L1273" s="23"/>
      <c r="M1273" s="32"/>
    </row>
    <row r="1274" spans="2:13" s="1" customFormat="1" x14ac:dyDescent="0.25">
      <c r="B1274" s="77"/>
      <c r="D1274" s="1" t="str">
        <f t="shared" si="37"/>
        <v/>
      </c>
      <c r="E1274" s="20"/>
      <c r="K1274" s="25"/>
      <c r="L1274" s="23"/>
      <c r="M1274" s="32"/>
    </row>
    <row r="1275" spans="2:13" s="1" customFormat="1" x14ac:dyDescent="0.25">
      <c r="B1275" s="77"/>
      <c r="D1275" s="1" t="str">
        <f t="shared" si="37"/>
        <v/>
      </c>
      <c r="E1275" s="20"/>
      <c r="K1275" s="25"/>
      <c r="L1275" s="23"/>
      <c r="M1275" s="32"/>
    </row>
    <row r="1276" spans="2:13" s="1" customFormat="1" x14ac:dyDescent="0.25">
      <c r="B1276" s="77"/>
      <c r="D1276" s="1" t="str">
        <f t="shared" si="37"/>
        <v/>
      </c>
      <c r="E1276" s="20"/>
      <c r="K1276" s="25"/>
      <c r="L1276" s="23"/>
      <c r="M1276" s="32"/>
    </row>
    <row r="1277" spans="2:13" s="1" customFormat="1" x14ac:dyDescent="0.25">
      <c r="B1277" s="77"/>
      <c r="D1277" s="1" t="str">
        <f t="shared" si="37"/>
        <v/>
      </c>
      <c r="E1277" s="20"/>
      <c r="K1277" s="25"/>
      <c r="L1277" s="23"/>
      <c r="M1277" s="32"/>
    </row>
    <row r="1278" spans="2:13" s="1" customFormat="1" x14ac:dyDescent="0.25">
      <c r="B1278" s="77"/>
      <c r="D1278" s="1" t="str">
        <f t="shared" si="37"/>
        <v/>
      </c>
      <c r="E1278" s="20"/>
      <c r="K1278" s="25"/>
      <c r="L1278" s="23"/>
      <c r="M1278" s="32"/>
    </row>
    <row r="1279" spans="2:13" s="1" customFormat="1" x14ac:dyDescent="0.25">
      <c r="B1279" s="77"/>
      <c r="D1279" s="1" t="str">
        <f t="shared" si="37"/>
        <v/>
      </c>
      <c r="E1279" s="20"/>
      <c r="K1279" s="25"/>
      <c r="L1279" s="23"/>
      <c r="M1279" s="32"/>
    </row>
    <row r="1280" spans="2:13" s="1" customFormat="1" x14ac:dyDescent="0.25">
      <c r="B1280" s="77"/>
      <c r="D1280" s="1" t="str">
        <f t="shared" si="37"/>
        <v/>
      </c>
      <c r="E1280" s="20"/>
      <c r="K1280" s="25"/>
      <c r="L1280" s="23"/>
      <c r="M1280" s="32"/>
    </row>
    <row r="1281" spans="2:13" s="1" customFormat="1" x14ac:dyDescent="0.25">
      <c r="B1281" s="77"/>
      <c r="D1281" s="1" t="str">
        <f t="shared" si="37"/>
        <v/>
      </c>
      <c r="E1281" s="20"/>
      <c r="K1281" s="25"/>
      <c r="L1281" s="23"/>
      <c r="M1281" s="32"/>
    </row>
    <row r="1282" spans="2:13" s="1" customFormat="1" x14ac:dyDescent="0.25">
      <c r="B1282" s="77"/>
      <c r="D1282" s="1" t="str">
        <f t="shared" si="37"/>
        <v/>
      </c>
      <c r="E1282" s="20"/>
      <c r="K1282" s="25"/>
      <c r="L1282" s="23"/>
      <c r="M1282" s="32"/>
    </row>
    <row r="1283" spans="2:13" s="1" customFormat="1" x14ac:dyDescent="0.25">
      <c r="B1283" s="77"/>
      <c r="D1283" s="1" t="str">
        <f t="shared" si="37"/>
        <v/>
      </c>
      <c r="E1283" s="20"/>
      <c r="K1283" s="25"/>
      <c r="L1283" s="23"/>
      <c r="M1283" s="32"/>
    </row>
    <row r="1284" spans="2:13" s="1" customFormat="1" x14ac:dyDescent="0.25">
      <c r="B1284" s="77"/>
      <c r="D1284" s="1" t="str">
        <f t="shared" si="37"/>
        <v/>
      </c>
      <c r="E1284" s="20"/>
      <c r="K1284" s="25"/>
      <c r="L1284" s="23"/>
      <c r="M1284" s="32"/>
    </row>
    <row r="1285" spans="2:13" s="1" customFormat="1" x14ac:dyDescent="0.25">
      <c r="B1285" s="77"/>
      <c r="D1285" s="1" t="str">
        <f t="shared" si="37"/>
        <v/>
      </c>
      <c r="E1285" s="20"/>
      <c r="K1285" s="25"/>
      <c r="L1285" s="23"/>
      <c r="M1285" s="32"/>
    </row>
    <row r="1286" spans="2:13" s="1" customFormat="1" x14ac:dyDescent="0.25">
      <c r="B1286" s="77"/>
      <c r="D1286" s="1" t="str">
        <f t="shared" si="37"/>
        <v/>
      </c>
      <c r="E1286" s="20"/>
      <c r="K1286" s="25"/>
      <c r="L1286" s="23"/>
      <c r="M1286" s="32"/>
    </row>
    <row r="1287" spans="2:13" s="1" customFormat="1" x14ac:dyDescent="0.25">
      <c r="B1287" s="77"/>
      <c r="D1287" s="1" t="str">
        <f t="shared" si="37"/>
        <v/>
      </c>
      <c r="E1287" s="20"/>
      <c r="K1287" s="25"/>
      <c r="L1287" s="23"/>
      <c r="M1287" s="32"/>
    </row>
    <row r="1288" spans="2:13" s="1" customFormat="1" x14ac:dyDescent="0.25">
      <c r="B1288" s="77"/>
      <c r="D1288" s="1" t="str">
        <f t="shared" ref="D1288:D1351" si="38">IF(F1288&lt;&gt;"",RIGHT(F1288, LEN(F1288) - FIND(" - ", F1288) - 2),"")</f>
        <v/>
      </c>
      <c r="E1288" s="20"/>
      <c r="K1288" s="25"/>
      <c r="L1288" s="23"/>
      <c r="M1288" s="32"/>
    </row>
    <row r="1289" spans="2:13" s="1" customFormat="1" x14ac:dyDescent="0.25">
      <c r="B1289" s="77"/>
      <c r="D1289" s="1" t="str">
        <f t="shared" si="38"/>
        <v/>
      </c>
      <c r="E1289" s="20"/>
      <c r="K1289" s="25"/>
      <c r="L1289" s="23"/>
      <c r="M1289" s="32"/>
    </row>
    <row r="1290" spans="2:13" s="1" customFormat="1" x14ac:dyDescent="0.25">
      <c r="B1290" s="77"/>
      <c r="D1290" s="1" t="str">
        <f t="shared" si="38"/>
        <v/>
      </c>
      <c r="E1290" s="20"/>
      <c r="K1290" s="25"/>
      <c r="L1290" s="23"/>
      <c r="M1290" s="32"/>
    </row>
    <row r="1291" spans="2:13" s="1" customFormat="1" x14ac:dyDescent="0.25">
      <c r="B1291" s="77"/>
      <c r="D1291" s="1" t="str">
        <f t="shared" si="38"/>
        <v/>
      </c>
      <c r="E1291" s="20"/>
      <c r="K1291" s="25"/>
      <c r="L1291" s="23"/>
      <c r="M1291" s="32"/>
    </row>
    <row r="1292" spans="2:13" s="1" customFormat="1" x14ac:dyDescent="0.25">
      <c r="B1292" s="77"/>
      <c r="D1292" s="1" t="str">
        <f t="shared" si="38"/>
        <v/>
      </c>
      <c r="E1292" s="20"/>
      <c r="K1292" s="25"/>
      <c r="L1292" s="23"/>
      <c r="M1292" s="32"/>
    </row>
    <row r="1293" spans="2:13" s="1" customFormat="1" x14ac:dyDescent="0.25">
      <c r="B1293" s="77"/>
      <c r="D1293" s="1" t="str">
        <f t="shared" si="38"/>
        <v/>
      </c>
      <c r="E1293" s="20"/>
      <c r="K1293" s="25"/>
      <c r="L1293" s="23"/>
      <c r="M1293" s="32"/>
    </row>
    <row r="1294" spans="2:13" s="1" customFormat="1" x14ac:dyDescent="0.25">
      <c r="B1294" s="77"/>
      <c r="D1294" s="1" t="str">
        <f t="shared" si="38"/>
        <v/>
      </c>
      <c r="E1294" s="20"/>
      <c r="K1294" s="25"/>
      <c r="L1294" s="23"/>
      <c r="M1294" s="32"/>
    </row>
    <row r="1295" spans="2:13" s="1" customFormat="1" x14ac:dyDescent="0.25">
      <c r="B1295" s="77"/>
      <c r="D1295" s="1" t="str">
        <f t="shared" si="38"/>
        <v/>
      </c>
      <c r="E1295" s="20"/>
      <c r="K1295" s="25"/>
      <c r="L1295" s="23"/>
      <c r="M1295" s="32"/>
    </row>
    <row r="1296" spans="2:13" s="1" customFormat="1" x14ac:dyDescent="0.25">
      <c r="B1296" s="77"/>
      <c r="D1296" s="1" t="str">
        <f t="shared" si="38"/>
        <v/>
      </c>
      <c r="E1296" s="20"/>
      <c r="K1296" s="25"/>
      <c r="L1296" s="23"/>
      <c r="M1296" s="32"/>
    </row>
    <row r="1297" spans="2:13" s="1" customFormat="1" x14ac:dyDescent="0.25">
      <c r="B1297" s="77"/>
      <c r="D1297" s="1" t="str">
        <f t="shared" si="38"/>
        <v/>
      </c>
      <c r="E1297" s="20"/>
      <c r="K1297" s="25"/>
      <c r="L1297" s="23"/>
      <c r="M1297" s="32"/>
    </row>
    <row r="1298" spans="2:13" s="1" customFormat="1" x14ac:dyDescent="0.25">
      <c r="B1298" s="77"/>
      <c r="D1298" s="1" t="str">
        <f t="shared" si="38"/>
        <v/>
      </c>
      <c r="E1298" s="20"/>
      <c r="K1298" s="25"/>
      <c r="L1298" s="23"/>
      <c r="M1298" s="32"/>
    </row>
    <row r="1299" spans="2:13" s="1" customFormat="1" x14ac:dyDescent="0.25">
      <c r="B1299" s="77"/>
      <c r="D1299" s="1" t="str">
        <f t="shared" si="38"/>
        <v/>
      </c>
      <c r="E1299" s="20"/>
      <c r="K1299" s="25"/>
      <c r="L1299" s="23"/>
      <c r="M1299" s="32"/>
    </row>
    <row r="1300" spans="2:13" s="1" customFormat="1" x14ac:dyDescent="0.25">
      <c r="B1300" s="77"/>
      <c r="D1300" s="1" t="str">
        <f t="shared" si="38"/>
        <v/>
      </c>
      <c r="E1300" s="20"/>
      <c r="K1300" s="25"/>
      <c r="L1300" s="23"/>
      <c r="M1300" s="32"/>
    </row>
    <row r="1301" spans="2:13" s="1" customFormat="1" x14ac:dyDescent="0.25">
      <c r="B1301" s="77"/>
      <c r="D1301" s="1" t="str">
        <f t="shared" si="38"/>
        <v/>
      </c>
      <c r="E1301" s="20"/>
      <c r="K1301" s="25"/>
      <c r="L1301" s="23"/>
      <c r="M1301" s="32"/>
    </row>
    <row r="1302" spans="2:13" s="1" customFormat="1" x14ac:dyDescent="0.25">
      <c r="B1302" s="77"/>
      <c r="D1302" s="1" t="str">
        <f t="shared" si="38"/>
        <v/>
      </c>
      <c r="E1302" s="20"/>
      <c r="K1302" s="25"/>
      <c r="L1302" s="23"/>
      <c r="M1302" s="32"/>
    </row>
    <row r="1303" spans="2:13" s="1" customFormat="1" x14ac:dyDescent="0.25">
      <c r="B1303" s="77"/>
      <c r="D1303" s="1" t="str">
        <f t="shared" si="38"/>
        <v/>
      </c>
      <c r="E1303" s="20"/>
      <c r="K1303" s="25"/>
      <c r="L1303" s="23"/>
      <c r="M1303" s="32"/>
    </row>
    <row r="1304" spans="2:13" s="1" customFormat="1" x14ac:dyDescent="0.25">
      <c r="B1304" s="77"/>
      <c r="D1304" s="1" t="str">
        <f t="shared" si="38"/>
        <v/>
      </c>
      <c r="E1304" s="20"/>
      <c r="K1304" s="25"/>
      <c r="L1304" s="23"/>
      <c r="M1304" s="32"/>
    </row>
    <row r="1305" spans="2:13" s="1" customFormat="1" x14ac:dyDescent="0.25">
      <c r="B1305" s="77"/>
      <c r="D1305" s="1" t="str">
        <f t="shared" si="38"/>
        <v/>
      </c>
      <c r="E1305" s="20"/>
      <c r="K1305" s="25"/>
      <c r="L1305" s="23"/>
      <c r="M1305" s="32"/>
    </row>
    <row r="1306" spans="2:13" s="1" customFormat="1" x14ac:dyDescent="0.25">
      <c r="B1306" s="77"/>
      <c r="D1306" s="1" t="str">
        <f t="shared" si="38"/>
        <v/>
      </c>
      <c r="E1306" s="20"/>
      <c r="K1306" s="25"/>
      <c r="L1306" s="23"/>
      <c r="M1306" s="32"/>
    </row>
    <row r="1307" spans="2:13" s="1" customFormat="1" x14ac:dyDescent="0.25">
      <c r="B1307" s="77"/>
      <c r="D1307" s="1" t="str">
        <f t="shared" si="38"/>
        <v/>
      </c>
      <c r="E1307" s="20"/>
      <c r="K1307" s="25"/>
      <c r="L1307" s="23"/>
      <c r="M1307" s="32"/>
    </row>
    <row r="1308" spans="2:13" s="1" customFormat="1" x14ac:dyDescent="0.25">
      <c r="B1308" s="77"/>
      <c r="D1308" s="1" t="str">
        <f t="shared" si="38"/>
        <v/>
      </c>
      <c r="E1308" s="20"/>
      <c r="K1308" s="25"/>
      <c r="L1308" s="23"/>
      <c r="M1308" s="32"/>
    </row>
    <row r="1309" spans="2:13" s="1" customFormat="1" x14ac:dyDescent="0.25">
      <c r="B1309" s="77"/>
      <c r="D1309" s="1" t="str">
        <f t="shared" si="38"/>
        <v/>
      </c>
      <c r="E1309" s="20"/>
      <c r="K1309" s="25"/>
      <c r="L1309" s="23"/>
      <c r="M1309" s="32"/>
    </row>
    <row r="1310" spans="2:13" s="1" customFormat="1" x14ac:dyDescent="0.25">
      <c r="B1310" s="77"/>
      <c r="D1310" s="1" t="str">
        <f t="shared" si="38"/>
        <v/>
      </c>
      <c r="E1310" s="20"/>
      <c r="K1310" s="25"/>
      <c r="L1310" s="23"/>
      <c r="M1310" s="32"/>
    </row>
    <row r="1311" spans="2:13" s="1" customFormat="1" x14ac:dyDescent="0.25">
      <c r="B1311" s="77"/>
      <c r="D1311" s="1" t="str">
        <f t="shared" si="38"/>
        <v/>
      </c>
      <c r="E1311" s="20"/>
      <c r="K1311" s="25"/>
      <c r="L1311" s="23"/>
      <c r="M1311" s="32"/>
    </row>
    <row r="1312" spans="2:13" s="1" customFormat="1" x14ac:dyDescent="0.25">
      <c r="B1312" s="77"/>
      <c r="D1312" s="1" t="str">
        <f t="shared" si="38"/>
        <v/>
      </c>
      <c r="E1312" s="20"/>
      <c r="K1312" s="25"/>
      <c r="L1312" s="23"/>
      <c r="M1312" s="32"/>
    </row>
    <row r="1313" spans="2:13" s="1" customFormat="1" x14ac:dyDescent="0.25">
      <c r="B1313" s="77"/>
      <c r="D1313" s="1" t="str">
        <f t="shared" si="38"/>
        <v/>
      </c>
      <c r="E1313" s="20"/>
      <c r="K1313" s="25"/>
      <c r="L1313" s="23"/>
      <c r="M1313" s="32"/>
    </row>
    <row r="1314" spans="2:13" s="1" customFormat="1" x14ac:dyDescent="0.25">
      <c r="B1314" s="77"/>
      <c r="D1314" s="1" t="str">
        <f t="shared" si="38"/>
        <v/>
      </c>
      <c r="E1314" s="20"/>
      <c r="K1314" s="25"/>
      <c r="L1314" s="23"/>
      <c r="M1314" s="32"/>
    </row>
    <row r="1315" spans="2:13" s="1" customFormat="1" x14ac:dyDescent="0.25">
      <c r="B1315" s="77"/>
      <c r="D1315" s="1" t="str">
        <f t="shared" si="38"/>
        <v/>
      </c>
      <c r="E1315" s="20"/>
      <c r="K1315" s="25"/>
      <c r="L1315" s="23"/>
      <c r="M1315" s="32"/>
    </row>
    <row r="1316" spans="2:13" s="1" customFormat="1" x14ac:dyDescent="0.25">
      <c r="B1316" s="77"/>
      <c r="D1316" s="1" t="str">
        <f t="shared" si="38"/>
        <v/>
      </c>
      <c r="E1316" s="20"/>
      <c r="K1316" s="25"/>
      <c r="L1316" s="23"/>
      <c r="M1316" s="32"/>
    </row>
    <row r="1317" spans="2:13" s="1" customFormat="1" x14ac:dyDescent="0.25">
      <c r="B1317" s="77"/>
      <c r="D1317" s="1" t="str">
        <f t="shared" si="38"/>
        <v/>
      </c>
      <c r="E1317" s="20"/>
      <c r="K1317" s="25"/>
      <c r="L1317" s="23"/>
      <c r="M1317" s="32"/>
    </row>
    <row r="1318" spans="2:13" s="1" customFormat="1" x14ac:dyDescent="0.25">
      <c r="B1318" s="77"/>
      <c r="D1318" s="1" t="str">
        <f t="shared" si="38"/>
        <v/>
      </c>
      <c r="E1318" s="20"/>
      <c r="K1318" s="25"/>
      <c r="L1318" s="23"/>
      <c r="M1318" s="32"/>
    </row>
    <row r="1319" spans="2:13" s="1" customFormat="1" x14ac:dyDescent="0.25">
      <c r="B1319" s="77"/>
      <c r="D1319" s="1" t="str">
        <f t="shared" si="38"/>
        <v/>
      </c>
      <c r="E1319" s="20"/>
      <c r="K1319" s="25"/>
      <c r="L1319" s="23"/>
      <c r="M1319" s="32"/>
    </row>
    <row r="1320" spans="2:13" s="1" customFormat="1" x14ac:dyDescent="0.25">
      <c r="B1320" s="77"/>
      <c r="D1320" s="1" t="str">
        <f t="shared" si="38"/>
        <v/>
      </c>
      <c r="E1320" s="20"/>
      <c r="K1320" s="25"/>
      <c r="L1320" s="23"/>
      <c r="M1320" s="32"/>
    </row>
    <row r="1321" spans="2:13" s="1" customFormat="1" x14ac:dyDescent="0.25">
      <c r="B1321" s="77"/>
      <c r="D1321" s="1" t="str">
        <f t="shared" si="38"/>
        <v/>
      </c>
      <c r="E1321" s="20"/>
      <c r="K1321" s="25"/>
      <c r="L1321" s="23"/>
      <c r="M1321" s="32"/>
    </row>
    <row r="1322" spans="2:13" s="1" customFormat="1" x14ac:dyDescent="0.25">
      <c r="B1322" s="77"/>
      <c r="D1322" s="1" t="str">
        <f t="shared" si="38"/>
        <v/>
      </c>
      <c r="E1322" s="20"/>
      <c r="K1322" s="25"/>
      <c r="L1322" s="23"/>
      <c r="M1322" s="32"/>
    </row>
    <row r="1323" spans="2:13" s="1" customFormat="1" x14ac:dyDescent="0.25">
      <c r="B1323" s="77"/>
      <c r="D1323" s="1" t="str">
        <f t="shared" si="38"/>
        <v/>
      </c>
      <c r="E1323" s="20"/>
      <c r="K1323" s="25"/>
      <c r="L1323" s="23"/>
      <c r="M1323" s="32"/>
    </row>
    <row r="1324" spans="2:13" s="1" customFormat="1" x14ac:dyDescent="0.25">
      <c r="B1324" s="77"/>
      <c r="D1324" s="1" t="str">
        <f t="shared" si="38"/>
        <v/>
      </c>
      <c r="E1324" s="20"/>
      <c r="K1324" s="25"/>
      <c r="L1324" s="23"/>
      <c r="M1324" s="32"/>
    </row>
    <row r="1325" spans="2:13" s="1" customFormat="1" x14ac:dyDescent="0.25">
      <c r="B1325" s="77"/>
      <c r="D1325" s="1" t="str">
        <f t="shared" si="38"/>
        <v/>
      </c>
      <c r="E1325" s="20"/>
      <c r="K1325" s="25"/>
      <c r="L1325" s="23"/>
      <c r="M1325" s="32"/>
    </row>
    <row r="1326" spans="2:13" s="1" customFormat="1" x14ac:dyDescent="0.25">
      <c r="B1326" s="77"/>
      <c r="D1326" s="1" t="str">
        <f t="shared" si="38"/>
        <v/>
      </c>
      <c r="E1326" s="20"/>
      <c r="K1326" s="25"/>
      <c r="L1326" s="23"/>
      <c r="M1326" s="32"/>
    </row>
    <row r="1327" spans="2:13" s="1" customFormat="1" x14ac:dyDescent="0.25">
      <c r="B1327" s="77"/>
      <c r="D1327" s="1" t="str">
        <f t="shared" si="38"/>
        <v/>
      </c>
      <c r="E1327" s="20"/>
      <c r="K1327" s="25"/>
      <c r="L1327" s="23"/>
      <c r="M1327" s="32"/>
    </row>
    <row r="1328" spans="2:13" s="1" customFormat="1" x14ac:dyDescent="0.25">
      <c r="B1328" s="77"/>
      <c r="D1328" s="1" t="str">
        <f t="shared" si="38"/>
        <v/>
      </c>
      <c r="E1328" s="20"/>
      <c r="K1328" s="25"/>
      <c r="L1328" s="23"/>
      <c r="M1328" s="32"/>
    </row>
    <row r="1329" spans="2:13" s="1" customFormat="1" x14ac:dyDescent="0.25">
      <c r="B1329" s="77"/>
      <c r="D1329" s="1" t="str">
        <f t="shared" si="38"/>
        <v/>
      </c>
      <c r="E1329" s="20"/>
      <c r="K1329" s="25"/>
      <c r="L1329" s="23"/>
      <c r="M1329" s="32"/>
    </row>
    <row r="1330" spans="2:13" s="1" customFormat="1" x14ac:dyDescent="0.25">
      <c r="B1330" s="77"/>
      <c r="D1330" s="1" t="str">
        <f t="shared" si="38"/>
        <v/>
      </c>
      <c r="E1330" s="20"/>
      <c r="K1330" s="25"/>
      <c r="L1330" s="23"/>
      <c r="M1330" s="32"/>
    </row>
    <row r="1331" spans="2:13" s="1" customFormat="1" x14ac:dyDescent="0.25">
      <c r="B1331" s="77"/>
      <c r="D1331" s="1" t="str">
        <f t="shared" si="38"/>
        <v/>
      </c>
      <c r="E1331" s="20"/>
      <c r="K1331" s="25"/>
      <c r="L1331" s="23"/>
      <c r="M1331" s="32"/>
    </row>
    <row r="1332" spans="2:13" s="1" customFormat="1" x14ac:dyDescent="0.25">
      <c r="B1332" s="77"/>
      <c r="D1332" s="1" t="str">
        <f t="shared" si="38"/>
        <v/>
      </c>
      <c r="E1332" s="20"/>
      <c r="K1332" s="25"/>
      <c r="L1332" s="23"/>
      <c r="M1332" s="32"/>
    </row>
    <row r="1333" spans="2:13" s="1" customFormat="1" x14ac:dyDescent="0.25">
      <c r="B1333" s="77"/>
      <c r="D1333" s="1" t="str">
        <f t="shared" si="38"/>
        <v/>
      </c>
      <c r="E1333" s="20"/>
      <c r="K1333" s="25"/>
      <c r="L1333" s="23"/>
      <c r="M1333" s="32"/>
    </row>
    <row r="1334" spans="2:13" s="1" customFormat="1" x14ac:dyDescent="0.25">
      <c r="B1334" s="77"/>
      <c r="D1334" s="1" t="str">
        <f t="shared" si="38"/>
        <v/>
      </c>
      <c r="E1334" s="20"/>
      <c r="K1334" s="25"/>
      <c r="L1334" s="23"/>
      <c r="M1334" s="32"/>
    </row>
    <row r="1335" spans="2:13" s="1" customFormat="1" x14ac:dyDescent="0.25">
      <c r="B1335" s="77"/>
      <c r="D1335" s="1" t="str">
        <f t="shared" si="38"/>
        <v/>
      </c>
      <c r="E1335" s="20"/>
      <c r="K1335" s="25"/>
      <c r="L1335" s="23"/>
      <c r="M1335" s="32"/>
    </row>
    <row r="1336" spans="2:13" s="1" customFormat="1" x14ac:dyDescent="0.25">
      <c r="B1336" s="77"/>
      <c r="D1336" s="1" t="str">
        <f t="shared" si="38"/>
        <v/>
      </c>
      <c r="E1336" s="20"/>
      <c r="K1336" s="25"/>
      <c r="L1336" s="23"/>
      <c r="M1336" s="32"/>
    </row>
    <row r="1337" spans="2:13" s="1" customFormat="1" x14ac:dyDescent="0.25">
      <c r="B1337" s="77"/>
      <c r="D1337" s="1" t="str">
        <f t="shared" si="38"/>
        <v/>
      </c>
      <c r="E1337" s="20"/>
      <c r="K1337" s="25"/>
      <c r="L1337" s="23"/>
      <c r="M1337" s="32"/>
    </row>
    <row r="1338" spans="2:13" s="1" customFormat="1" x14ac:dyDescent="0.25">
      <c r="B1338" s="77"/>
      <c r="D1338" s="1" t="str">
        <f t="shared" si="38"/>
        <v/>
      </c>
      <c r="E1338" s="20"/>
      <c r="K1338" s="25"/>
      <c r="L1338" s="23"/>
      <c r="M1338" s="32"/>
    </row>
    <row r="1339" spans="2:13" s="1" customFormat="1" x14ac:dyDescent="0.25">
      <c r="B1339" s="77"/>
      <c r="D1339" s="1" t="str">
        <f t="shared" si="38"/>
        <v/>
      </c>
      <c r="E1339" s="20"/>
      <c r="K1339" s="25"/>
      <c r="L1339" s="23"/>
      <c r="M1339" s="32"/>
    </row>
    <row r="1340" spans="2:13" s="1" customFormat="1" x14ac:dyDescent="0.25">
      <c r="B1340" s="77"/>
      <c r="D1340" s="1" t="str">
        <f t="shared" si="38"/>
        <v/>
      </c>
      <c r="E1340" s="20"/>
      <c r="K1340" s="25"/>
      <c r="L1340" s="23"/>
      <c r="M1340" s="32"/>
    </row>
    <row r="1341" spans="2:13" s="1" customFormat="1" x14ac:dyDescent="0.25">
      <c r="B1341" s="77"/>
      <c r="D1341" s="1" t="str">
        <f t="shared" si="38"/>
        <v/>
      </c>
      <c r="E1341" s="20"/>
      <c r="K1341" s="25"/>
      <c r="L1341" s="23"/>
      <c r="M1341" s="32"/>
    </row>
    <row r="1342" spans="2:13" s="1" customFormat="1" x14ac:dyDescent="0.25">
      <c r="B1342" s="77"/>
      <c r="D1342" s="1" t="str">
        <f t="shared" si="38"/>
        <v/>
      </c>
      <c r="E1342" s="20"/>
      <c r="K1342" s="25"/>
      <c r="L1342" s="23"/>
      <c r="M1342" s="32"/>
    </row>
    <row r="1343" spans="2:13" s="1" customFormat="1" x14ac:dyDescent="0.25">
      <c r="B1343" s="77"/>
      <c r="D1343" s="1" t="str">
        <f t="shared" si="38"/>
        <v/>
      </c>
      <c r="E1343" s="20"/>
      <c r="K1343" s="25"/>
      <c r="L1343" s="23"/>
      <c r="M1343" s="32"/>
    </row>
    <row r="1344" spans="2:13" s="1" customFormat="1" x14ac:dyDescent="0.25">
      <c r="B1344" s="77"/>
      <c r="D1344" s="1" t="str">
        <f t="shared" si="38"/>
        <v/>
      </c>
      <c r="E1344" s="20"/>
      <c r="K1344" s="25"/>
      <c r="L1344" s="23"/>
      <c r="M1344" s="32"/>
    </row>
    <row r="1345" spans="2:13" s="1" customFormat="1" x14ac:dyDescent="0.25">
      <c r="B1345" s="77"/>
      <c r="D1345" s="1" t="str">
        <f t="shared" si="38"/>
        <v/>
      </c>
      <c r="E1345" s="20"/>
      <c r="K1345" s="25"/>
      <c r="L1345" s="23"/>
      <c r="M1345" s="32"/>
    </row>
    <row r="1346" spans="2:13" s="1" customFormat="1" x14ac:dyDescent="0.25">
      <c r="B1346" s="77"/>
      <c r="D1346" s="1" t="str">
        <f t="shared" si="38"/>
        <v/>
      </c>
      <c r="E1346" s="20"/>
      <c r="K1346" s="25"/>
      <c r="L1346" s="23"/>
      <c r="M1346" s="32"/>
    </row>
    <row r="1347" spans="2:13" s="1" customFormat="1" x14ac:dyDescent="0.25">
      <c r="B1347" s="77"/>
      <c r="D1347" s="1" t="str">
        <f t="shared" si="38"/>
        <v/>
      </c>
      <c r="E1347" s="20"/>
      <c r="K1347" s="25"/>
      <c r="L1347" s="23"/>
      <c r="M1347" s="32"/>
    </row>
    <row r="1348" spans="2:13" s="1" customFormat="1" x14ac:dyDescent="0.25">
      <c r="B1348" s="77"/>
      <c r="D1348" s="1" t="str">
        <f t="shared" si="38"/>
        <v/>
      </c>
      <c r="E1348" s="20"/>
      <c r="K1348" s="25"/>
      <c r="L1348" s="23"/>
      <c r="M1348" s="32"/>
    </row>
    <row r="1349" spans="2:13" s="1" customFormat="1" x14ac:dyDescent="0.25">
      <c r="B1349" s="77"/>
      <c r="D1349" s="1" t="str">
        <f t="shared" si="38"/>
        <v/>
      </c>
      <c r="E1349" s="20"/>
      <c r="K1349" s="25"/>
      <c r="L1349" s="23"/>
      <c r="M1349" s="32"/>
    </row>
    <row r="1350" spans="2:13" s="1" customFormat="1" x14ac:dyDescent="0.25">
      <c r="B1350" s="77"/>
      <c r="D1350" s="1" t="str">
        <f t="shared" si="38"/>
        <v/>
      </c>
      <c r="E1350" s="20"/>
      <c r="K1350" s="25"/>
      <c r="L1350" s="23"/>
      <c r="M1350" s="32"/>
    </row>
    <row r="1351" spans="2:13" s="1" customFormat="1" x14ac:dyDescent="0.25">
      <c r="B1351" s="77"/>
      <c r="D1351" s="1" t="str">
        <f t="shared" si="38"/>
        <v/>
      </c>
      <c r="E1351" s="20"/>
      <c r="K1351" s="25"/>
      <c r="L1351" s="23"/>
      <c r="M1351" s="32"/>
    </row>
    <row r="1352" spans="2:13" s="1" customFormat="1" x14ac:dyDescent="0.25">
      <c r="B1352" s="77"/>
      <c r="D1352" s="1" t="str">
        <f t="shared" ref="D1352:D1415" si="39">IF(F1352&lt;&gt;"",RIGHT(F1352, LEN(F1352) - FIND(" - ", F1352) - 2),"")</f>
        <v/>
      </c>
      <c r="E1352" s="20"/>
      <c r="K1352" s="25"/>
      <c r="L1352" s="23"/>
      <c r="M1352" s="32"/>
    </row>
    <row r="1353" spans="2:13" s="1" customFormat="1" x14ac:dyDescent="0.25">
      <c r="B1353" s="77"/>
      <c r="D1353" s="1" t="str">
        <f t="shared" si="39"/>
        <v/>
      </c>
      <c r="E1353" s="20"/>
      <c r="K1353" s="25"/>
      <c r="L1353" s="23"/>
      <c r="M1353" s="32"/>
    </row>
    <row r="1354" spans="2:13" s="1" customFormat="1" x14ac:dyDescent="0.25">
      <c r="B1354" s="77"/>
      <c r="D1354" s="1" t="str">
        <f t="shared" si="39"/>
        <v/>
      </c>
      <c r="E1354" s="20"/>
      <c r="K1354" s="25"/>
      <c r="L1354" s="23"/>
      <c r="M1354" s="32"/>
    </row>
    <row r="1355" spans="2:13" s="1" customFormat="1" x14ac:dyDescent="0.25">
      <c r="B1355" s="77"/>
      <c r="D1355" s="1" t="str">
        <f t="shared" si="39"/>
        <v/>
      </c>
      <c r="E1355" s="20"/>
      <c r="K1355" s="25"/>
      <c r="L1355" s="23"/>
      <c r="M1355" s="32"/>
    </row>
    <row r="1356" spans="2:13" s="1" customFormat="1" x14ac:dyDescent="0.25">
      <c r="B1356" s="77"/>
      <c r="D1356" s="1" t="str">
        <f t="shared" si="39"/>
        <v/>
      </c>
      <c r="E1356" s="20"/>
      <c r="K1356" s="25"/>
      <c r="L1356" s="23"/>
      <c r="M1356" s="32"/>
    </row>
    <row r="1357" spans="2:13" s="1" customFormat="1" x14ac:dyDescent="0.25">
      <c r="B1357" s="77"/>
      <c r="D1357" s="1" t="str">
        <f t="shared" si="39"/>
        <v/>
      </c>
      <c r="E1357" s="20"/>
      <c r="K1357" s="25"/>
      <c r="L1357" s="23"/>
      <c r="M1357" s="32"/>
    </row>
    <row r="1358" spans="2:13" s="1" customFormat="1" x14ac:dyDescent="0.25">
      <c r="B1358" s="77"/>
      <c r="D1358" s="1" t="str">
        <f t="shared" si="39"/>
        <v/>
      </c>
      <c r="E1358" s="20"/>
      <c r="K1358" s="25"/>
      <c r="L1358" s="23"/>
      <c r="M1358" s="32"/>
    </row>
    <row r="1359" spans="2:13" s="1" customFormat="1" x14ac:dyDescent="0.25">
      <c r="B1359" s="77"/>
      <c r="D1359" s="1" t="str">
        <f t="shared" si="39"/>
        <v/>
      </c>
      <c r="E1359" s="20"/>
      <c r="K1359" s="25"/>
      <c r="L1359" s="23"/>
      <c r="M1359" s="32"/>
    </row>
    <row r="1360" spans="2:13" s="1" customFormat="1" x14ac:dyDescent="0.25">
      <c r="B1360" s="77"/>
      <c r="D1360" s="1" t="str">
        <f t="shared" si="39"/>
        <v/>
      </c>
      <c r="E1360" s="20"/>
      <c r="K1360" s="25"/>
      <c r="L1360" s="23"/>
      <c r="M1360" s="32"/>
    </row>
    <row r="1361" spans="2:13" s="1" customFormat="1" x14ac:dyDescent="0.25">
      <c r="B1361" s="77"/>
      <c r="D1361" s="1" t="str">
        <f t="shared" si="39"/>
        <v/>
      </c>
      <c r="E1361" s="20"/>
      <c r="K1361" s="25"/>
      <c r="L1361" s="23"/>
      <c r="M1361" s="32"/>
    </row>
    <row r="1362" spans="2:13" s="1" customFormat="1" x14ac:dyDescent="0.25">
      <c r="B1362" s="77"/>
      <c r="D1362" s="1" t="str">
        <f t="shared" si="39"/>
        <v/>
      </c>
      <c r="E1362" s="20"/>
      <c r="K1362" s="25"/>
      <c r="L1362" s="23"/>
      <c r="M1362" s="32"/>
    </row>
    <row r="1363" spans="2:13" s="1" customFormat="1" x14ac:dyDescent="0.25">
      <c r="B1363" s="77"/>
      <c r="D1363" s="1" t="str">
        <f t="shared" si="39"/>
        <v/>
      </c>
      <c r="E1363" s="20"/>
      <c r="K1363" s="25"/>
      <c r="L1363" s="23"/>
      <c r="M1363" s="32"/>
    </row>
    <row r="1364" spans="2:13" s="1" customFormat="1" x14ac:dyDescent="0.25">
      <c r="B1364" s="77"/>
      <c r="D1364" s="1" t="str">
        <f t="shared" si="39"/>
        <v/>
      </c>
      <c r="E1364" s="20"/>
      <c r="K1364" s="25"/>
      <c r="L1364" s="23"/>
      <c r="M1364" s="32"/>
    </row>
    <row r="1365" spans="2:13" s="1" customFormat="1" x14ac:dyDescent="0.25">
      <c r="B1365" s="77"/>
      <c r="D1365" s="1" t="str">
        <f t="shared" si="39"/>
        <v/>
      </c>
      <c r="E1365" s="20"/>
      <c r="K1365" s="25"/>
      <c r="L1365" s="23"/>
      <c r="M1365" s="32"/>
    </row>
    <row r="1366" spans="2:13" s="1" customFormat="1" x14ac:dyDescent="0.25">
      <c r="B1366" s="77"/>
      <c r="D1366" s="1" t="str">
        <f t="shared" si="39"/>
        <v/>
      </c>
      <c r="E1366" s="20"/>
      <c r="K1366" s="25"/>
      <c r="L1366" s="23"/>
      <c r="M1366" s="32"/>
    </row>
    <row r="1367" spans="2:13" s="1" customFormat="1" x14ac:dyDescent="0.25">
      <c r="B1367" s="77"/>
      <c r="D1367" s="1" t="str">
        <f t="shared" si="39"/>
        <v/>
      </c>
      <c r="E1367" s="20"/>
      <c r="K1367" s="25"/>
      <c r="L1367" s="23"/>
      <c r="M1367" s="32"/>
    </row>
    <row r="1368" spans="2:13" s="1" customFormat="1" x14ac:dyDescent="0.25">
      <c r="B1368" s="77"/>
      <c r="D1368" s="1" t="str">
        <f t="shared" si="39"/>
        <v/>
      </c>
      <c r="E1368" s="20"/>
      <c r="K1368" s="25"/>
      <c r="L1368" s="23"/>
      <c r="M1368" s="32"/>
    </row>
    <row r="1369" spans="2:13" s="1" customFormat="1" x14ac:dyDescent="0.25">
      <c r="B1369" s="77"/>
      <c r="D1369" s="1" t="str">
        <f t="shared" si="39"/>
        <v/>
      </c>
      <c r="E1369" s="20"/>
      <c r="K1369" s="25"/>
      <c r="L1369" s="23"/>
      <c r="M1369" s="32"/>
    </row>
    <row r="1370" spans="2:13" s="1" customFormat="1" x14ac:dyDescent="0.25">
      <c r="B1370" s="77"/>
      <c r="D1370" s="1" t="str">
        <f t="shared" si="39"/>
        <v/>
      </c>
      <c r="E1370" s="20"/>
      <c r="K1370" s="25"/>
      <c r="L1370" s="23"/>
      <c r="M1370" s="32"/>
    </row>
    <row r="1371" spans="2:13" s="1" customFormat="1" x14ac:dyDescent="0.25">
      <c r="B1371" s="77"/>
      <c r="D1371" s="1" t="str">
        <f t="shared" si="39"/>
        <v/>
      </c>
      <c r="E1371" s="20"/>
      <c r="K1371" s="25"/>
      <c r="L1371" s="23"/>
      <c r="M1371" s="32"/>
    </row>
    <row r="1372" spans="2:13" s="1" customFormat="1" x14ac:dyDescent="0.25">
      <c r="B1372" s="77"/>
      <c r="D1372" s="1" t="str">
        <f t="shared" si="39"/>
        <v/>
      </c>
      <c r="E1372" s="20"/>
      <c r="K1372" s="25"/>
      <c r="L1372" s="23"/>
      <c r="M1372" s="32"/>
    </row>
    <row r="1373" spans="2:13" s="1" customFormat="1" x14ac:dyDescent="0.25">
      <c r="B1373" s="77"/>
      <c r="D1373" s="1" t="str">
        <f t="shared" si="39"/>
        <v/>
      </c>
      <c r="E1373" s="20"/>
      <c r="K1373" s="25"/>
      <c r="L1373" s="23"/>
      <c r="M1373" s="32"/>
    </row>
    <row r="1374" spans="2:13" s="1" customFormat="1" x14ac:dyDescent="0.25">
      <c r="B1374" s="77"/>
      <c r="D1374" s="1" t="str">
        <f t="shared" si="39"/>
        <v/>
      </c>
      <c r="E1374" s="20"/>
      <c r="K1374" s="25"/>
      <c r="L1374" s="23"/>
      <c r="M1374" s="32"/>
    </row>
    <row r="1375" spans="2:13" s="1" customFormat="1" x14ac:dyDescent="0.25">
      <c r="B1375" s="77"/>
      <c r="D1375" s="1" t="str">
        <f t="shared" si="39"/>
        <v/>
      </c>
      <c r="E1375" s="20"/>
      <c r="K1375" s="25"/>
      <c r="L1375" s="23"/>
      <c r="M1375" s="32"/>
    </row>
    <row r="1376" spans="2:13" s="1" customFormat="1" x14ac:dyDescent="0.25">
      <c r="B1376" s="77"/>
      <c r="D1376" s="1" t="str">
        <f t="shared" si="39"/>
        <v/>
      </c>
      <c r="E1376" s="20"/>
      <c r="K1376" s="25"/>
      <c r="L1376" s="23"/>
      <c r="M1376" s="32"/>
    </row>
    <row r="1377" spans="2:13" s="1" customFormat="1" x14ac:dyDescent="0.25">
      <c r="B1377" s="77"/>
      <c r="D1377" s="1" t="str">
        <f t="shared" si="39"/>
        <v/>
      </c>
      <c r="E1377" s="20"/>
      <c r="K1377" s="25"/>
      <c r="L1377" s="23"/>
      <c r="M1377" s="32"/>
    </row>
    <row r="1378" spans="2:13" s="1" customFormat="1" x14ac:dyDescent="0.25">
      <c r="B1378" s="77"/>
      <c r="D1378" s="1" t="str">
        <f t="shared" si="39"/>
        <v/>
      </c>
      <c r="E1378" s="20"/>
      <c r="K1378" s="25"/>
      <c r="L1378" s="23"/>
      <c r="M1378" s="32"/>
    </row>
    <row r="1379" spans="2:13" s="1" customFormat="1" x14ac:dyDescent="0.25">
      <c r="B1379" s="77"/>
      <c r="D1379" s="1" t="str">
        <f t="shared" si="39"/>
        <v/>
      </c>
      <c r="E1379" s="20"/>
      <c r="K1379" s="25"/>
      <c r="L1379" s="23"/>
      <c r="M1379" s="32"/>
    </row>
    <row r="1380" spans="2:13" s="1" customFormat="1" x14ac:dyDescent="0.25">
      <c r="B1380" s="77"/>
      <c r="D1380" s="1" t="str">
        <f t="shared" si="39"/>
        <v/>
      </c>
      <c r="E1380" s="20"/>
      <c r="K1380" s="25"/>
      <c r="L1380" s="23"/>
      <c r="M1380" s="32"/>
    </row>
    <row r="1381" spans="2:13" s="1" customFormat="1" x14ac:dyDescent="0.25">
      <c r="B1381" s="77"/>
      <c r="D1381" s="1" t="str">
        <f t="shared" si="39"/>
        <v/>
      </c>
      <c r="E1381" s="20"/>
      <c r="K1381" s="25"/>
      <c r="L1381" s="23"/>
      <c r="M1381" s="32"/>
    </row>
    <row r="1382" spans="2:13" s="1" customFormat="1" x14ac:dyDescent="0.25">
      <c r="B1382" s="77"/>
      <c r="D1382" s="1" t="str">
        <f t="shared" si="39"/>
        <v/>
      </c>
      <c r="E1382" s="20"/>
      <c r="K1382" s="25"/>
      <c r="L1382" s="23"/>
      <c r="M1382" s="32"/>
    </row>
    <row r="1383" spans="2:13" s="1" customFormat="1" x14ac:dyDescent="0.25">
      <c r="B1383" s="77"/>
      <c r="D1383" s="1" t="str">
        <f t="shared" si="39"/>
        <v/>
      </c>
      <c r="E1383" s="20"/>
      <c r="K1383" s="25"/>
      <c r="L1383" s="23"/>
      <c r="M1383" s="32"/>
    </row>
    <row r="1384" spans="2:13" s="1" customFormat="1" x14ac:dyDescent="0.25">
      <c r="B1384" s="77"/>
      <c r="D1384" s="1" t="str">
        <f t="shared" si="39"/>
        <v/>
      </c>
      <c r="E1384" s="20"/>
      <c r="K1384" s="25"/>
      <c r="L1384" s="23"/>
      <c r="M1384" s="32"/>
    </row>
    <row r="1385" spans="2:13" s="1" customFormat="1" x14ac:dyDescent="0.25">
      <c r="B1385" s="77"/>
      <c r="D1385" s="1" t="str">
        <f t="shared" si="39"/>
        <v/>
      </c>
      <c r="E1385" s="20"/>
      <c r="K1385" s="25"/>
      <c r="L1385" s="23"/>
      <c r="M1385" s="32"/>
    </row>
    <row r="1386" spans="2:13" s="1" customFormat="1" x14ac:dyDescent="0.25">
      <c r="B1386" s="77"/>
      <c r="D1386" s="1" t="str">
        <f t="shared" si="39"/>
        <v/>
      </c>
      <c r="E1386" s="20"/>
      <c r="K1386" s="25"/>
      <c r="L1386" s="23"/>
      <c r="M1386" s="32"/>
    </row>
    <row r="1387" spans="2:13" s="1" customFormat="1" x14ac:dyDescent="0.25">
      <c r="B1387" s="77"/>
      <c r="D1387" s="1" t="str">
        <f t="shared" si="39"/>
        <v/>
      </c>
      <c r="E1387" s="20"/>
      <c r="K1387" s="25"/>
      <c r="L1387" s="23"/>
      <c r="M1387" s="32"/>
    </row>
    <row r="1388" spans="2:13" s="1" customFormat="1" x14ac:dyDescent="0.25">
      <c r="B1388" s="77"/>
      <c r="D1388" s="1" t="str">
        <f t="shared" si="39"/>
        <v/>
      </c>
      <c r="E1388" s="20"/>
      <c r="K1388" s="25"/>
      <c r="L1388" s="23"/>
      <c r="M1388" s="32"/>
    </row>
    <row r="1389" spans="2:13" s="1" customFormat="1" x14ac:dyDescent="0.25">
      <c r="B1389" s="77"/>
      <c r="D1389" s="1" t="str">
        <f t="shared" si="39"/>
        <v/>
      </c>
      <c r="E1389" s="20"/>
      <c r="K1389" s="25"/>
      <c r="L1389" s="23"/>
      <c r="M1389" s="32"/>
    </row>
    <row r="1390" spans="2:13" s="1" customFormat="1" x14ac:dyDescent="0.25">
      <c r="B1390" s="77"/>
      <c r="D1390" s="1" t="str">
        <f t="shared" si="39"/>
        <v/>
      </c>
      <c r="E1390" s="20"/>
      <c r="K1390" s="25"/>
      <c r="L1390" s="23"/>
      <c r="M1390" s="32"/>
    </row>
    <row r="1391" spans="2:13" s="1" customFormat="1" x14ac:dyDescent="0.25">
      <c r="B1391" s="77"/>
      <c r="D1391" s="1" t="str">
        <f t="shared" si="39"/>
        <v/>
      </c>
      <c r="E1391" s="20"/>
      <c r="K1391" s="25"/>
      <c r="L1391" s="23"/>
      <c r="M1391" s="32"/>
    </row>
    <row r="1392" spans="2:13" s="1" customFormat="1" x14ac:dyDescent="0.25">
      <c r="B1392" s="77"/>
      <c r="D1392" s="1" t="str">
        <f t="shared" si="39"/>
        <v/>
      </c>
      <c r="E1392" s="20"/>
      <c r="K1392" s="25"/>
      <c r="L1392" s="23"/>
      <c r="M1392" s="32"/>
    </row>
    <row r="1393" spans="2:13" s="1" customFormat="1" x14ac:dyDescent="0.25">
      <c r="B1393" s="77"/>
      <c r="D1393" s="1" t="str">
        <f t="shared" si="39"/>
        <v/>
      </c>
      <c r="E1393" s="20"/>
      <c r="K1393" s="25"/>
      <c r="L1393" s="23"/>
      <c r="M1393" s="32"/>
    </row>
    <row r="1394" spans="2:13" s="1" customFormat="1" x14ac:dyDescent="0.25">
      <c r="B1394" s="77"/>
      <c r="D1394" s="1" t="str">
        <f t="shared" si="39"/>
        <v/>
      </c>
      <c r="E1394" s="20"/>
      <c r="K1394" s="25"/>
      <c r="L1394" s="23"/>
      <c r="M1394" s="32"/>
    </row>
    <row r="1395" spans="2:13" s="1" customFormat="1" x14ac:dyDescent="0.25">
      <c r="B1395" s="77"/>
      <c r="D1395" s="1" t="str">
        <f t="shared" si="39"/>
        <v/>
      </c>
      <c r="E1395" s="20"/>
      <c r="K1395" s="25"/>
      <c r="L1395" s="23"/>
      <c r="M1395" s="32"/>
    </row>
    <row r="1396" spans="2:13" s="1" customFormat="1" x14ac:dyDescent="0.25">
      <c r="B1396" s="77"/>
      <c r="D1396" s="1" t="str">
        <f t="shared" si="39"/>
        <v/>
      </c>
      <c r="E1396" s="20"/>
      <c r="K1396" s="25"/>
      <c r="L1396" s="23"/>
      <c r="M1396" s="32"/>
    </row>
    <row r="1397" spans="2:13" s="1" customFormat="1" x14ac:dyDescent="0.25">
      <c r="B1397" s="77"/>
      <c r="D1397" s="1" t="str">
        <f t="shared" si="39"/>
        <v/>
      </c>
      <c r="E1397" s="20"/>
      <c r="K1397" s="25"/>
      <c r="L1397" s="23"/>
      <c r="M1397" s="32"/>
    </row>
    <row r="1398" spans="2:13" s="1" customFormat="1" x14ac:dyDescent="0.25">
      <c r="B1398" s="77"/>
      <c r="D1398" s="1" t="str">
        <f t="shared" si="39"/>
        <v/>
      </c>
      <c r="E1398" s="20"/>
      <c r="K1398" s="25"/>
      <c r="L1398" s="23"/>
      <c r="M1398" s="32"/>
    </row>
    <row r="1399" spans="2:13" s="1" customFormat="1" x14ac:dyDescent="0.25">
      <c r="B1399" s="77"/>
      <c r="D1399" s="1" t="str">
        <f t="shared" si="39"/>
        <v/>
      </c>
      <c r="E1399" s="20"/>
      <c r="K1399" s="25"/>
      <c r="L1399" s="23"/>
      <c r="M1399" s="32"/>
    </row>
    <row r="1400" spans="2:13" s="1" customFormat="1" x14ac:dyDescent="0.25">
      <c r="B1400" s="77"/>
      <c r="D1400" s="1" t="str">
        <f t="shared" si="39"/>
        <v/>
      </c>
      <c r="E1400" s="20"/>
      <c r="K1400" s="25"/>
      <c r="L1400" s="23"/>
      <c r="M1400" s="32"/>
    </row>
    <row r="1401" spans="2:13" s="1" customFormat="1" x14ac:dyDescent="0.25">
      <c r="B1401" s="77"/>
      <c r="D1401" s="1" t="str">
        <f t="shared" si="39"/>
        <v/>
      </c>
      <c r="E1401" s="20"/>
      <c r="K1401" s="25"/>
      <c r="L1401" s="23"/>
      <c r="M1401" s="32"/>
    </row>
    <row r="1402" spans="2:13" s="1" customFormat="1" x14ac:dyDescent="0.25">
      <c r="B1402" s="77"/>
      <c r="D1402" s="1" t="str">
        <f t="shared" si="39"/>
        <v/>
      </c>
      <c r="E1402" s="20"/>
      <c r="K1402" s="25"/>
      <c r="L1402" s="23"/>
      <c r="M1402" s="32"/>
    </row>
    <row r="1403" spans="2:13" s="1" customFormat="1" x14ac:dyDescent="0.25">
      <c r="B1403" s="77"/>
      <c r="D1403" s="1" t="str">
        <f t="shared" si="39"/>
        <v/>
      </c>
      <c r="E1403" s="20"/>
      <c r="K1403" s="25"/>
      <c r="L1403" s="23"/>
      <c r="M1403" s="32"/>
    </row>
    <row r="1404" spans="2:13" s="1" customFormat="1" x14ac:dyDescent="0.25">
      <c r="B1404" s="77"/>
      <c r="D1404" s="1" t="str">
        <f t="shared" si="39"/>
        <v/>
      </c>
      <c r="E1404" s="20"/>
      <c r="K1404" s="25"/>
      <c r="L1404" s="23"/>
      <c r="M1404" s="32"/>
    </row>
    <row r="1405" spans="2:13" s="1" customFormat="1" x14ac:dyDescent="0.25">
      <c r="B1405" s="77"/>
      <c r="D1405" s="1" t="str">
        <f t="shared" si="39"/>
        <v/>
      </c>
      <c r="E1405" s="20"/>
      <c r="K1405" s="25"/>
      <c r="L1405" s="23"/>
      <c r="M1405" s="32"/>
    </row>
    <row r="1406" spans="2:13" s="1" customFormat="1" x14ac:dyDescent="0.25">
      <c r="B1406" s="77"/>
      <c r="D1406" s="1" t="str">
        <f t="shared" si="39"/>
        <v/>
      </c>
      <c r="E1406" s="20"/>
      <c r="K1406" s="25"/>
      <c r="L1406" s="23"/>
      <c r="M1406" s="32"/>
    </row>
    <row r="1407" spans="2:13" s="1" customFormat="1" x14ac:dyDescent="0.25">
      <c r="B1407" s="77"/>
      <c r="D1407" s="1" t="str">
        <f t="shared" si="39"/>
        <v/>
      </c>
      <c r="E1407" s="20"/>
      <c r="K1407" s="25"/>
      <c r="L1407" s="23"/>
      <c r="M1407" s="32"/>
    </row>
    <row r="1408" spans="2:13" s="1" customFormat="1" x14ac:dyDescent="0.25">
      <c r="B1408" s="77"/>
      <c r="D1408" s="1" t="str">
        <f t="shared" si="39"/>
        <v/>
      </c>
      <c r="E1408" s="20"/>
      <c r="K1408" s="25"/>
      <c r="L1408" s="23"/>
      <c r="M1408" s="32"/>
    </row>
    <row r="1409" spans="2:13" s="1" customFormat="1" x14ac:dyDescent="0.25">
      <c r="B1409" s="77"/>
      <c r="D1409" s="1" t="str">
        <f t="shared" si="39"/>
        <v/>
      </c>
      <c r="E1409" s="20"/>
      <c r="K1409" s="25"/>
      <c r="L1409" s="23"/>
      <c r="M1409" s="32"/>
    </row>
    <row r="1410" spans="2:13" s="1" customFormat="1" x14ac:dyDescent="0.25">
      <c r="B1410" s="77"/>
      <c r="D1410" s="1" t="str">
        <f t="shared" si="39"/>
        <v/>
      </c>
      <c r="E1410" s="20"/>
      <c r="K1410" s="25"/>
      <c r="L1410" s="23"/>
      <c r="M1410" s="32"/>
    </row>
    <row r="1411" spans="2:13" s="1" customFormat="1" x14ac:dyDescent="0.25">
      <c r="B1411" s="77"/>
      <c r="D1411" s="1" t="str">
        <f t="shared" si="39"/>
        <v/>
      </c>
      <c r="E1411" s="20"/>
      <c r="K1411" s="25"/>
      <c r="L1411" s="23"/>
      <c r="M1411" s="32"/>
    </row>
    <row r="1412" spans="2:13" s="1" customFormat="1" x14ac:dyDescent="0.25">
      <c r="B1412" s="77"/>
      <c r="D1412" s="1" t="str">
        <f t="shared" si="39"/>
        <v/>
      </c>
      <c r="E1412" s="20"/>
      <c r="K1412" s="25"/>
      <c r="L1412" s="23"/>
      <c r="M1412" s="32"/>
    </row>
    <row r="1413" spans="2:13" s="1" customFormat="1" x14ac:dyDescent="0.25">
      <c r="B1413" s="77"/>
      <c r="D1413" s="1" t="str">
        <f t="shared" si="39"/>
        <v/>
      </c>
      <c r="E1413" s="20"/>
      <c r="K1413" s="25"/>
      <c r="L1413" s="23"/>
      <c r="M1413" s="32"/>
    </row>
    <row r="1414" spans="2:13" s="1" customFormat="1" x14ac:dyDescent="0.25">
      <c r="B1414" s="77"/>
      <c r="D1414" s="1" t="str">
        <f t="shared" si="39"/>
        <v/>
      </c>
      <c r="E1414" s="20"/>
      <c r="K1414" s="25"/>
      <c r="L1414" s="23"/>
      <c r="M1414" s="32"/>
    </row>
    <row r="1415" spans="2:13" s="1" customFormat="1" x14ac:dyDescent="0.25">
      <c r="B1415" s="77"/>
      <c r="D1415" s="1" t="str">
        <f t="shared" si="39"/>
        <v/>
      </c>
      <c r="E1415" s="20"/>
      <c r="K1415" s="25"/>
      <c r="L1415" s="23"/>
      <c r="M1415" s="32"/>
    </row>
    <row r="1416" spans="2:13" s="1" customFormat="1" x14ac:dyDescent="0.25">
      <c r="B1416" s="77"/>
      <c r="D1416" s="1" t="str">
        <f t="shared" ref="D1416:D1479" si="40">IF(F1416&lt;&gt;"",RIGHT(F1416, LEN(F1416) - FIND(" - ", F1416) - 2),"")</f>
        <v/>
      </c>
      <c r="E1416" s="20"/>
      <c r="K1416" s="25"/>
      <c r="L1416" s="23"/>
      <c r="M1416" s="32"/>
    </row>
    <row r="1417" spans="2:13" s="1" customFormat="1" x14ac:dyDescent="0.25">
      <c r="B1417" s="77"/>
      <c r="D1417" s="1" t="str">
        <f t="shared" si="40"/>
        <v/>
      </c>
      <c r="E1417" s="20"/>
      <c r="K1417" s="25"/>
      <c r="L1417" s="23"/>
      <c r="M1417" s="32"/>
    </row>
    <row r="1418" spans="2:13" s="1" customFormat="1" x14ac:dyDescent="0.25">
      <c r="B1418" s="77"/>
      <c r="D1418" s="1" t="str">
        <f t="shared" si="40"/>
        <v/>
      </c>
      <c r="E1418" s="20"/>
      <c r="K1418" s="25"/>
      <c r="L1418" s="23"/>
      <c r="M1418" s="32"/>
    </row>
    <row r="1419" spans="2:13" s="1" customFormat="1" x14ac:dyDescent="0.25">
      <c r="B1419" s="77"/>
      <c r="D1419" s="1" t="str">
        <f t="shared" si="40"/>
        <v/>
      </c>
      <c r="E1419" s="20"/>
      <c r="K1419" s="25"/>
      <c r="L1419" s="23"/>
      <c r="M1419" s="32"/>
    </row>
    <row r="1420" spans="2:13" s="1" customFormat="1" x14ac:dyDescent="0.25">
      <c r="B1420" s="77"/>
      <c r="D1420" s="1" t="str">
        <f t="shared" si="40"/>
        <v/>
      </c>
      <c r="E1420" s="20"/>
      <c r="K1420" s="25"/>
      <c r="L1420" s="23"/>
      <c r="M1420" s="32"/>
    </row>
    <row r="1421" spans="2:13" s="1" customFormat="1" x14ac:dyDescent="0.25">
      <c r="B1421" s="77"/>
      <c r="D1421" s="1" t="str">
        <f t="shared" si="40"/>
        <v/>
      </c>
      <c r="E1421" s="20"/>
      <c r="K1421" s="25"/>
      <c r="L1421" s="23"/>
      <c r="M1421" s="32"/>
    </row>
    <row r="1422" spans="2:13" s="1" customFormat="1" x14ac:dyDescent="0.25">
      <c r="B1422" s="77"/>
      <c r="D1422" s="1" t="str">
        <f t="shared" si="40"/>
        <v/>
      </c>
      <c r="E1422" s="20"/>
      <c r="K1422" s="25"/>
      <c r="L1422" s="23"/>
      <c r="M1422" s="32"/>
    </row>
    <row r="1423" spans="2:13" s="1" customFormat="1" x14ac:dyDescent="0.25">
      <c r="B1423" s="77"/>
      <c r="D1423" s="1" t="str">
        <f t="shared" si="40"/>
        <v/>
      </c>
      <c r="E1423" s="20"/>
      <c r="K1423" s="25"/>
      <c r="L1423" s="23"/>
      <c r="M1423" s="32"/>
    </row>
    <row r="1424" spans="2:13" s="1" customFormat="1" x14ac:dyDescent="0.25">
      <c r="B1424" s="77"/>
      <c r="D1424" s="1" t="str">
        <f t="shared" si="40"/>
        <v/>
      </c>
      <c r="E1424" s="20"/>
      <c r="K1424" s="25"/>
      <c r="L1424" s="23"/>
      <c r="M1424" s="32"/>
    </row>
    <row r="1425" spans="2:13" s="1" customFormat="1" x14ac:dyDescent="0.25">
      <c r="B1425" s="77"/>
      <c r="D1425" s="1" t="str">
        <f t="shared" si="40"/>
        <v/>
      </c>
      <c r="E1425" s="20"/>
      <c r="K1425" s="25"/>
      <c r="L1425" s="23"/>
      <c r="M1425" s="32"/>
    </row>
    <row r="1426" spans="2:13" s="1" customFormat="1" x14ac:dyDescent="0.25">
      <c r="B1426" s="77"/>
      <c r="D1426" s="1" t="str">
        <f t="shared" si="40"/>
        <v/>
      </c>
      <c r="E1426" s="20"/>
      <c r="K1426" s="25"/>
      <c r="L1426" s="23"/>
      <c r="M1426" s="32"/>
    </row>
    <row r="1427" spans="2:13" s="1" customFormat="1" x14ac:dyDescent="0.25">
      <c r="B1427" s="77"/>
      <c r="D1427" s="1" t="str">
        <f t="shared" si="40"/>
        <v/>
      </c>
      <c r="E1427" s="20"/>
      <c r="K1427" s="25"/>
      <c r="L1427" s="23"/>
      <c r="M1427" s="32"/>
    </row>
    <row r="1428" spans="2:13" s="1" customFormat="1" x14ac:dyDescent="0.25">
      <c r="B1428" s="77"/>
      <c r="D1428" s="1" t="str">
        <f t="shared" si="40"/>
        <v/>
      </c>
      <c r="E1428" s="20"/>
      <c r="K1428" s="25"/>
      <c r="L1428" s="23"/>
      <c r="M1428" s="32"/>
    </row>
    <row r="1429" spans="2:13" s="1" customFormat="1" x14ac:dyDescent="0.25">
      <c r="B1429" s="77"/>
      <c r="D1429" s="1" t="str">
        <f t="shared" si="40"/>
        <v/>
      </c>
      <c r="E1429" s="20"/>
      <c r="K1429" s="25"/>
      <c r="L1429" s="23"/>
      <c r="M1429" s="32"/>
    </row>
    <row r="1430" spans="2:13" s="1" customFormat="1" x14ac:dyDescent="0.25">
      <c r="B1430" s="77"/>
      <c r="D1430" s="1" t="str">
        <f t="shared" si="40"/>
        <v/>
      </c>
      <c r="E1430" s="20"/>
      <c r="K1430" s="25"/>
      <c r="L1430" s="23"/>
      <c r="M1430" s="32"/>
    </row>
    <row r="1431" spans="2:13" s="1" customFormat="1" x14ac:dyDescent="0.25">
      <c r="B1431" s="77"/>
      <c r="D1431" s="1" t="str">
        <f t="shared" si="40"/>
        <v/>
      </c>
      <c r="E1431" s="20"/>
      <c r="K1431" s="25"/>
      <c r="L1431" s="23"/>
      <c r="M1431" s="32"/>
    </row>
    <row r="1432" spans="2:13" s="1" customFormat="1" x14ac:dyDescent="0.25">
      <c r="B1432" s="77"/>
      <c r="D1432" s="1" t="str">
        <f t="shared" si="40"/>
        <v/>
      </c>
      <c r="E1432" s="20"/>
      <c r="K1432" s="25"/>
      <c r="L1432" s="23"/>
      <c r="M1432" s="32"/>
    </row>
    <row r="1433" spans="2:13" s="1" customFormat="1" x14ac:dyDescent="0.25">
      <c r="B1433" s="77"/>
      <c r="D1433" s="1" t="str">
        <f t="shared" si="40"/>
        <v/>
      </c>
      <c r="E1433" s="20"/>
      <c r="K1433" s="25"/>
      <c r="L1433" s="23"/>
      <c r="M1433" s="32"/>
    </row>
    <row r="1434" spans="2:13" s="1" customFormat="1" x14ac:dyDescent="0.25">
      <c r="B1434" s="77"/>
      <c r="D1434" s="1" t="str">
        <f t="shared" si="40"/>
        <v/>
      </c>
      <c r="E1434" s="20"/>
      <c r="K1434" s="25"/>
      <c r="L1434" s="23"/>
      <c r="M1434" s="32"/>
    </row>
    <row r="1435" spans="2:13" s="1" customFormat="1" x14ac:dyDescent="0.25">
      <c r="B1435" s="77"/>
      <c r="D1435" s="1" t="str">
        <f t="shared" si="40"/>
        <v/>
      </c>
      <c r="E1435" s="20"/>
      <c r="K1435" s="25"/>
      <c r="L1435" s="23"/>
      <c r="M1435" s="32"/>
    </row>
    <row r="1436" spans="2:13" s="1" customFormat="1" x14ac:dyDescent="0.25">
      <c r="B1436" s="77"/>
      <c r="D1436" s="1" t="str">
        <f t="shared" si="40"/>
        <v/>
      </c>
      <c r="E1436" s="20"/>
      <c r="K1436" s="25"/>
      <c r="L1436" s="23"/>
      <c r="M1436" s="32"/>
    </row>
    <row r="1437" spans="2:13" s="1" customFormat="1" x14ac:dyDescent="0.25">
      <c r="B1437" s="77"/>
      <c r="D1437" s="1" t="str">
        <f t="shared" si="40"/>
        <v/>
      </c>
      <c r="E1437" s="20"/>
      <c r="K1437" s="25"/>
      <c r="L1437" s="23"/>
      <c r="M1437" s="32"/>
    </row>
    <row r="1438" spans="2:13" s="1" customFormat="1" x14ac:dyDescent="0.25">
      <c r="B1438" s="77"/>
      <c r="D1438" s="1" t="str">
        <f t="shared" si="40"/>
        <v/>
      </c>
      <c r="E1438" s="20"/>
      <c r="K1438" s="25"/>
      <c r="L1438" s="23"/>
      <c r="M1438" s="32"/>
    </row>
    <row r="1439" spans="2:13" s="1" customFormat="1" x14ac:dyDescent="0.25">
      <c r="B1439" s="77"/>
      <c r="D1439" s="1" t="str">
        <f t="shared" si="40"/>
        <v/>
      </c>
      <c r="E1439" s="20"/>
      <c r="K1439" s="25"/>
      <c r="L1439" s="23"/>
      <c r="M1439" s="32"/>
    </row>
    <row r="1440" spans="2:13" s="1" customFormat="1" x14ac:dyDescent="0.25">
      <c r="B1440" s="77"/>
      <c r="D1440" s="1" t="str">
        <f t="shared" si="40"/>
        <v/>
      </c>
      <c r="E1440" s="20"/>
      <c r="K1440" s="25"/>
      <c r="L1440" s="23"/>
      <c r="M1440" s="32"/>
    </row>
    <row r="1441" spans="2:13" s="1" customFormat="1" x14ac:dyDescent="0.25">
      <c r="B1441" s="77"/>
      <c r="D1441" s="1" t="str">
        <f t="shared" si="40"/>
        <v/>
      </c>
      <c r="E1441" s="20"/>
      <c r="K1441" s="25"/>
      <c r="L1441" s="23"/>
      <c r="M1441" s="32"/>
    </row>
    <row r="1442" spans="2:13" s="1" customFormat="1" x14ac:dyDescent="0.25">
      <c r="B1442" s="77"/>
      <c r="D1442" s="1" t="str">
        <f t="shared" si="40"/>
        <v/>
      </c>
      <c r="E1442" s="20"/>
      <c r="K1442" s="25"/>
      <c r="L1442" s="23"/>
      <c r="M1442" s="32"/>
    </row>
    <row r="1443" spans="2:13" s="1" customFormat="1" x14ac:dyDescent="0.25">
      <c r="B1443" s="77"/>
      <c r="D1443" s="1" t="str">
        <f t="shared" si="40"/>
        <v/>
      </c>
      <c r="E1443" s="20"/>
      <c r="K1443" s="25"/>
      <c r="L1443" s="23"/>
      <c r="M1443" s="32"/>
    </row>
    <row r="1444" spans="2:13" s="1" customFormat="1" x14ac:dyDescent="0.25">
      <c r="B1444" s="77"/>
      <c r="D1444" s="1" t="str">
        <f t="shared" si="40"/>
        <v/>
      </c>
      <c r="E1444" s="20"/>
      <c r="K1444" s="25"/>
      <c r="L1444" s="23"/>
      <c r="M1444" s="32"/>
    </row>
    <row r="1445" spans="2:13" s="1" customFormat="1" x14ac:dyDescent="0.25">
      <c r="B1445" s="77"/>
      <c r="D1445" s="1" t="str">
        <f t="shared" si="40"/>
        <v/>
      </c>
      <c r="E1445" s="20"/>
      <c r="K1445" s="25"/>
      <c r="L1445" s="23"/>
      <c r="M1445" s="32"/>
    </row>
    <row r="1446" spans="2:13" s="1" customFormat="1" x14ac:dyDescent="0.25">
      <c r="B1446" s="77"/>
      <c r="D1446" s="1" t="str">
        <f t="shared" si="40"/>
        <v/>
      </c>
      <c r="E1446" s="20"/>
      <c r="K1446" s="25"/>
      <c r="L1446" s="23"/>
      <c r="M1446" s="32"/>
    </row>
    <row r="1447" spans="2:13" s="1" customFormat="1" x14ac:dyDescent="0.25">
      <c r="B1447" s="77"/>
      <c r="D1447" s="1" t="str">
        <f t="shared" si="40"/>
        <v/>
      </c>
      <c r="E1447" s="20"/>
      <c r="K1447" s="25"/>
      <c r="L1447" s="23"/>
      <c r="M1447" s="32"/>
    </row>
    <row r="1448" spans="2:13" s="1" customFormat="1" x14ac:dyDescent="0.25">
      <c r="B1448" s="77"/>
      <c r="D1448" s="1" t="str">
        <f t="shared" si="40"/>
        <v/>
      </c>
      <c r="E1448" s="20"/>
      <c r="K1448" s="25"/>
      <c r="L1448" s="23"/>
      <c r="M1448" s="32"/>
    </row>
    <row r="1449" spans="2:13" s="1" customFormat="1" x14ac:dyDescent="0.25">
      <c r="B1449" s="77"/>
      <c r="D1449" s="1" t="str">
        <f t="shared" si="40"/>
        <v/>
      </c>
      <c r="E1449" s="20"/>
      <c r="K1449" s="25"/>
      <c r="L1449" s="23"/>
      <c r="M1449" s="32"/>
    </row>
    <row r="1450" spans="2:13" s="1" customFormat="1" x14ac:dyDescent="0.25">
      <c r="B1450" s="77"/>
      <c r="D1450" s="1" t="str">
        <f t="shared" si="40"/>
        <v/>
      </c>
      <c r="E1450" s="20"/>
      <c r="K1450" s="25"/>
      <c r="L1450" s="23"/>
      <c r="M1450" s="32"/>
    </row>
    <row r="1451" spans="2:13" s="1" customFormat="1" x14ac:dyDescent="0.25">
      <c r="B1451" s="77"/>
      <c r="D1451" s="1" t="str">
        <f t="shared" si="40"/>
        <v/>
      </c>
      <c r="E1451" s="20"/>
      <c r="K1451" s="25"/>
      <c r="L1451" s="23"/>
      <c r="M1451" s="32"/>
    </row>
    <row r="1452" spans="2:13" s="1" customFormat="1" x14ac:dyDescent="0.25">
      <c r="B1452" s="77"/>
      <c r="D1452" s="1" t="str">
        <f t="shared" si="40"/>
        <v/>
      </c>
      <c r="E1452" s="20"/>
      <c r="K1452" s="25"/>
      <c r="L1452" s="23"/>
      <c r="M1452" s="32"/>
    </row>
    <row r="1453" spans="2:13" s="1" customFormat="1" x14ac:dyDescent="0.25">
      <c r="B1453" s="77"/>
      <c r="D1453" s="1" t="str">
        <f t="shared" si="40"/>
        <v/>
      </c>
      <c r="E1453" s="20"/>
      <c r="K1453" s="25"/>
      <c r="L1453" s="23"/>
      <c r="M1453" s="32"/>
    </row>
    <row r="1454" spans="2:13" s="1" customFormat="1" x14ac:dyDescent="0.25">
      <c r="B1454" s="77"/>
      <c r="D1454" s="1" t="str">
        <f t="shared" si="40"/>
        <v/>
      </c>
      <c r="E1454" s="20"/>
      <c r="K1454" s="25"/>
      <c r="L1454" s="23"/>
      <c r="M1454" s="32"/>
    </row>
    <row r="1455" spans="2:13" s="1" customFormat="1" x14ac:dyDescent="0.25">
      <c r="B1455" s="77"/>
      <c r="D1455" s="1" t="str">
        <f t="shared" si="40"/>
        <v/>
      </c>
      <c r="E1455" s="20"/>
      <c r="K1455" s="25"/>
      <c r="L1455" s="23"/>
      <c r="M1455" s="32"/>
    </row>
    <row r="1456" spans="2:13" s="1" customFormat="1" x14ac:dyDescent="0.25">
      <c r="B1456" s="77"/>
      <c r="D1456" s="1" t="str">
        <f t="shared" si="40"/>
        <v/>
      </c>
      <c r="E1456" s="20"/>
      <c r="K1456" s="25"/>
      <c r="L1456" s="23"/>
      <c r="M1456" s="32"/>
    </row>
    <row r="1457" spans="2:13" s="1" customFormat="1" x14ac:dyDescent="0.25">
      <c r="B1457" s="77"/>
      <c r="D1457" s="1" t="str">
        <f t="shared" si="40"/>
        <v/>
      </c>
      <c r="E1457" s="20"/>
      <c r="K1457" s="25"/>
      <c r="L1457" s="23"/>
      <c r="M1457" s="32"/>
    </row>
    <row r="1458" spans="2:13" s="1" customFormat="1" x14ac:dyDescent="0.25">
      <c r="B1458" s="77"/>
      <c r="D1458" s="1" t="str">
        <f t="shared" si="40"/>
        <v/>
      </c>
      <c r="E1458" s="20"/>
      <c r="K1458" s="25"/>
      <c r="L1458" s="23"/>
      <c r="M1458" s="32"/>
    </row>
    <row r="1459" spans="2:13" s="1" customFormat="1" x14ac:dyDescent="0.25">
      <c r="B1459" s="77"/>
      <c r="D1459" s="1" t="str">
        <f t="shared" si="40"/>
        <v/>
      </c>
      <c r="E1459" s="20"/>
      <c r="K1459" s="25"/>
      <c r="L1459" s="23"/>
      <c r="M1459" s="32"/>
    </row>
    <row r="1460" spans="2:13" s="1" customFormat="1" x14ac:dyDescent="0.25">
      <c r="B1460" s="77"/>
      <c r="D1460" s="1" t="str">
        <f t="shared" si="40"/>
        <v/>
      </c>
      <c r="E1460" s="20"/>
      <c r="K1460" s="25"/>
      <c r="L1460" s="23"/>
      <c r="M1460" s="32"/>
    </row>
    <row r="1461" spans="2:13" s="1" customFormat="1" x14ac:dyDescent="0.25">
      <c r="B1461" s="77"/>
      <c r="D1461" s="1" t="str">
        <f t="shared" si="40"/>
        <v/>
      </c>
      <c r="E1461" s="20"/>
      <c r="K1461" s="25"/>
      <c r="L1461" s="23"/>
      <c r="M1461" s="32"/>
    </row>
    <row r="1462" spans="2:13" s="1" customFormat="1" x14ac:dyDescent="0.25">
      <c r="B1462" s="77"/>
      <c r="D1462" s="1" t="str">
        <f t="shared" si="40"/>
        <v/>
      </c>
      <c r="E1462" s="20"/>
      <c r="K1462" s="25"/>
      <c r="L1462" s="23"/>
      <c r="M1462" s="32"/>
    </row>
    <row r="1463" spans="2:13" s="1" customFormat="1" x14ac:dyDescent="0.25">
      <c r="B1463" s="77"/>
      <c r="D1463" s="1" t="str">
        <f t="shared" si="40"/>
        <v/>
      </c>
      <c r="E1463" s="20"/>
      <c r="K1463" s="25"/>
      <c r="L1463" s="23"/>
      <c r="M1463" s="32"/>
    </row>
    <row r="1464" spans="2:13" s="1" customFormat="1" x14ac:dyDescent="0.25">
      <c r="B1464" s="77"/>
      <c r="D1464" s="1" t="str">
        <f t="shared" si="40"/>
        <v/>
      </c>
      <c r="E1464" s="20"/>
      <c r="K1464" s="25"/>
      <c r="L1464" s="23"/>
      <c r="M1464" s="32"/>
    </row>
    <row r="1465" spans="2:13" s="1" customFormat="1" x14ac:dyDescent="0.25">
      <c r="B1465" s="77"/>
      <c r="D1465" s="1" t="str">
        <f t="shared" si="40"/>
        <v/>
      </c>
      <c r="E1465" s="20"/>
      <c r="K1465" s="25"/>
      <c r="L1465" s="23"/>
      <c r="M1465" s="32"/>
    </row>
    <row r="1466" spans="2:13" s="1" customFormat="1" x14ac:dyDescent="0.25">
      <c r="B1466" s="77"/>
      <c r="D1466" s="1" t="str">
        <f t="shared" si="40"/>
        <v/>
      </c>
      <c r="E1466" s="20"/>
      <c r="K1466" s="25"/>
      <c r="L1466" s="23"/>
      <c r="M1466" s="32"/>
    </row>
    <row r="1467" spans="2:13" s="1" customFormat="1" x14ac:dyDescent="0.25">
      <c r="B1467" s="77"/>
      <c r="D1467" s="1" t="str">
        <f t="shared" si="40"/>
        <v/>
      </c>
      <c r="E1467" s="20"/>
      <c r="K1467" s="25"/>
      <c r="L1467" s="23"/>
      <c r="M1467" s="32"/>
    </row>
    <row r="1468" spans="2:13" s="1" customFormat="1" x14ac:dyDescent="0.25">
      <c r="B1468" s="77"/>
      <c r="D1468" s="1" t="str">
        <f t="shared" si="40"/>
        <v/>
      </c>
      <c r="E1468" s="20"/>
      <c r="K1468" s="25"/>
      <c r="L1468" s="23"/>
      <c r="M1468" s="32"/>
    </row>
    <row r="1469" spans="2:13" s="1" customFormat="1" x14ac:dyDescent="0.25">
      <c r="B1469" s="77"/>
      <c r="D1469" s="1" t="str">
        <f t="shared" si="40"/>
        <v/>
      </c>
      <c r="E1469" s="20"/>
      <c r="K1469" s="25"/>
      <c r="L1469" s="23"/>
      <c r="M1469" s="32"/>
    </row>
    <row r="1470" spans="2:13" s="1" customFormat="1" x14ac:dyDescent="0.25">
      <c r="B1470" s="77"/>
      <c r="D1470" s="1" t="str">
        <f t="shared" si="40"/>
        <v/>
      </c>
      <c r="E1470" s="20"/>
      <c r="K1470" s="25"/>
      <c r="L1470" s="23"/>
      <c r="M1470" s="32"/>
    </row>
    <row r="1471" spans="2:13" s="1" customFormat="1" x14ac:dyDescent="0.25">
      <c r="B1471" s="77"/>
      <c r="D1471" s="1" t="str">
        <f t="shared" si="40"/>
        <v/>
      </c>
      <c r="E1471" s="20"/>
      <c r="K1471" s="25"/>
      <c r="L1471" s="23"/>
      <c r="M1471" s="32"/>
    </row>
    <row r="1472" spans="2:13" s="1" customFormat="1" x14ac:dyDescent="0.25">
      <c r="B1472" s="77"/>
      <c r="D1472" s="1" t="str">
        <f t="shared" si="40"/>
        <v/>
      </c>
      <c r="E1472" s="20"/>
      <c r="K1472" s="25"/>
      <c r="L1472" s="23"/>
      <c r="M1472" s="32"/>
    </row>
    <row r="1473" spans="2:13" s="1" customFormat="1" x14ac:dyDescent="0.25">
      <c r="B1473" s="77"/>
      <c r="D1473" s="1" t="str">
        <f t="shared" si="40"/>
        <v/>
      </c>
      <c r="E1473" s="20"/>
      <c r="K1473" s="25"/>
      <c r="L1473" s="23"/>
      <c r="M1473" s="32"/>
    </row>
    <row r="1474" spans="2:13" s="1" customFormat="1" x14ac:dyDescent="0.25">
      <c r="B1474" s="77"/>
      <c r="D1474" s="1" t="str">
        <f t="shared" si="40"/>
        <v/>
      </c>
      <c r="E1474" s="20"/>
      <c r="K1474" s="25"/>
      <c r="L1474" s="23"/>
      <c r="M1474" s="32"/>
    </row>
    <row r="1475" spans="2:13" s="1" customFormat="1" x14ac:dyDescent="0.25">
      <c r="B1475" s="77"/>
      <c r="D1475" s="1" t="str">
        <f t="shared" si="40"/>
        <v/>
      </c>
      <c r="E1475" s="20"/>
      <c r="K1475" s="25"/>
      <c r="L1475" s="23"/>
      <c r="M1475" s="32"/>
    </row>
    <row r="1476" spans="2:13" s="1" customFormat="1" x14ac:dyDescent="0.25">
      <c r="B1476" s="77"/>
      <c r="D1476" s="1" t="str">
        <f t="shared" si="40"/>
        <v/>
      </c>
      <c r="E1476" s="20"/>
      <c r="K1476" s="25"/>
      <c r="L1476" s="23"/>
      <c r="M1476" s="32"/>
    </row>
    <row r="1477" spans="2:13" s="1" customFormat="1" x14ac:dyDescent="0.25">
      <c r="B1477" s="77"/>
      <c r="D1477" s="1" t="str">
        <f t="shared" si="40"/>
        <v/>
      </c>
      <c r="E1477" s="20"/>
      <c r="K1477" s="25"/>
      <c r="L1477" s="23"/>
      <c r="M1477" s="32"/>
    </row>
    <row r="1478" spans="2:13" s="1" customFormat="1" x14ac:dyDescent="0.25">
      <c r="B1478" s="77"/>
      <c r="D1478" s="1" t="str">
        <f t="shared" si="40"/>
        <v/>
      </c>
      <c r="E1478" s="20"/>
      <c r="K1478" s="25"/>
      <c r="L1478" s="23"/>
      <c r="M1478" s="32"/>
    </row>
    <row r="1479" spans="2:13" s="1" customFormat="1" x14ac:dyDescent="0.25">
      <c r="B1479" s="77"/>
      <c r="D1479" s="1" t="str">
        <f t="shared" si="40"/>
        <v/>
      </c>
      <c r="E1479" s="20"/>
      <c r="K1479" s="25"/>
      <c r="L1479" s="23"/>
      <c r="M1479" s="32"/>
    </row>
    <row r="1480" spans="2:13" s="1" customFormat="1" x14ac:dyDescent="0.25">
      <c r="B1480" s="77"/>
      <c r="D1480" s="1" t="str">
        <f t="shared" ref="D1480:D1543" si="41">IF(F1480&lt;&gt;"",RIGHT(F1480, LEN(F1480) - FIND(" - ", F1480) - 2),"")</f>
        <v/>
      </c>
      <c r="E1480" s="20"/>
      <c r="K1480" s="25"/>
      <c r="L1480" s="23"/>
      <c r="M1480" s="32"/>
    </row>
    <row r="1481" spans="2:13" s="1" customFormat="1" x14ac:dyDescent="0.25">
      <c r="B1481" s="77"/>
      <c r="D1481" s="1" t="str">
        <f t="shared" si="41"/>
        <v/>
      </c>
      <c r="E1481" s="20"/>
      <c r="K1481" s="25"/>
      <c r="L1481" s="23"/>
      <c r="M1481" s="32"/>
    </row>
    <row r="1482" spans="2:13" s="1" customFormat="1" x14ac:dyDescent="0.25">
      <c r="B1482" s="77"/>
      <c r="D1482" s="1" t="str">
        <f t="shared" si="41"/>
        <v/>
      </c>
      <c r="E1482" s="20"/>
      <c r="K1482" s="25"/>
      <c r="L1482" s="23"/>
      <c r="M1482" s="32"/>
    </row>
    <row r="1483" spans="2:13" s="1" customFormat="1" x14ac:dyDescent="0.25">
      <c r="B1483" s="77"/>
      <c r="D1483" s="1" t="str">
        <f t="shared" si="41"/>
        <v/>
      </c>
      <c r="E1483" s="20"/>
      <c r="K1483" s="25"/>
      <c r="L1483" s="23"/>
      <c r="M1483" s="32"/>
    </row>
    <row r="1484" spans="2:13" s="1" customFormat="1" x14ac:dyDescent="0.25">
      <c r="B1484" s="77"/>
      <c r="D1484" s="1" t="str">
        <f t="shared" si="41"/>
        <v/>
      </c>
      <c r="E1484" s="20"/>
      <c r="K1484" s="25"/>
      <c r="L1484" s="23"/>
      <c r="M1484" s="32"/>
    </row>
    <row r="1485" spans="2:13" s="1" customFormat="1" x14ac:dyDescent="0.25">
      <c r="B1485" s="77"/>
      <c r="D1485" s="1" t="str">
        <f t="shared" si="41"/>
        <v/>
      </c>
      <c r="E1485" s="20"/>
      <c r="K1485" s="25"/>
      <c r="L1485" s="23"/>
      <c r="M1485" s="32"/>
    </row>
    <row r="1486" spans="2:13" s="1" customFormat="1" x14ac:dyDescent="0.25">
      <c r="B1486" s="77"/>
      <c r="D1486" s="1" t="str">
        <f t="shared" si="41"/>
        <v/>
      </c>
      <c r="E1486" s="20"/>
      <c r="K1486" s="25"/>
      <c r="L1486" s="23"/>
      <c r="M1486" s="32"/>
    </row>
    <row r="1487" spans="2:13" s="1" customFormat="1" x14ac:dyDescent="0.25">
      <c r="B1487" s="77"/>
      <c r="D1487" s="1" t="str">
        <f t="shared" si="41"/>
        <v/>
      </c>
      <c r="E1487" s="20"/>
      <c r="K1487" s="25"/>
      <c r="L1487" s="23"/>
      <c r="M1487" s="32"/>
    </row>
    <row r="1488" spans="2:13" s="1" customFormat="1" x14ac:dyDescent="0.25">
      <c r="B1488" s="77"/>
      <c r="D1488" s="1" t="str">
        <f t="shared" si="41"/>
        <v/>
      </c>
      <c r="E1488" s="20"/>
      <c r="K1488" s="25"/>
      <c r="L1488" s="23"/>
      <c r="M1488" s="32"/>
    </row>
    <row r="1489" spans="2:13" s="1" customFormat="1" x14ac:dyDescent="0.25">
      <c r="B1489" s="77"/>
      <c r="D1489" s="1" t="str">
        <f t="shared" si="41"/>
        <v/>
      </c>
      <c r="E1489" s="20"/>
      <c r="K1489" s="25"/>
      <c r="L1489" s="23"/>
      <c r="M1489" s="32"/>
    </row>
    <row r="1490" spans="2:13" s="1" customFormat="1" x14ac:dyDescent="0.25">
      <c r="B1490" s="77"/>
      <c r="D1490" s="1" t="str">
        <f t="shared" si="41"/>
        <v/>
      </c>
      <c r="E1490" s="20"/>
      <c r="K1490" s="25"/>
      <c r="L1490" s="23"/>
      <c r="M1490" s="32"/>
    </row>
    <row r="1491" spans="2:13" s="1" customFormat="1" x14ac:dyDescent="0.25">
      <c r="B1491" s="77"/>
      <c r="D1491" s="1" t="str">
        <f t="shared" si="41"/>
        <v/>
      </c>
      <c r="E1491" s="20"/>
      <c r="K1491" s="25"/>
      <c r="L1491" s="23"/>
      <c r="M1491" s="32"/>
    </row>
    <row r="1492" spans="2:13" s="1" customFormat="1" x14ac:dyDescent="0.25">
      <c r="B1492" s="77"/>
      <c r="D1492" s="1" t="str">
        <f t="shared" si="41"/>
        <v/>
      </c>
      <c r="E1492" s="20"/>
      <c r="K1492" s="25"/>
      <c r="L1492" s="23"/>
      <c r="M1492" s="32"/>
    </row>
    <row r="1493" spans="2:13" s="1" customFormat="1" x14ac:dyDescent="0.25">
      <c r="B1493" s="77"/>
      <c r="D1493" s="1" t="str">
        <f t="shared" si="41"/>
        <v/>
      </c>
      <c r="E1493" s="20"/>
      <c r="K1493" s="25"/>
      <c r="L1493" s="23"/>
      <c r="M1493" s="32"/>
    </row>
    <row r="1494" spans="2:13" s="1" customFormat="1" x14ac:dyDescent="0.25">
      <c r="B1494" s="77"/>
      <c r="D1494" s="1" t="str">
        <f t="shared" si="41"/>
        <v/>
      </c>
      <c r="E1494" s="20"/>
      <c r="K1494" s="25"/>
      <c r="L1494" s="23"/>
      <c r="M1494" s="32"/>
    </row>
    <row r="1495" spans="2:13" s="1" customFormat="1" x14ac:dyDescent="0.25">
      <c r="B1495" s="77"/>
      <c r="D1495" s="1" t="str">
        <f t="shared" si="41"/>
        <v/>
      </c>
      <c r="E1495" s="20"/>
      <c r="K1495" s="25"/>
      <c r="L1495" s="23"/>
      <c r="M1495" s="32"/>
    </row>
    <row r="1496" spans="2:13" s="1" customFormat="1" x14ac:dyDescent="0.25">
      <c r="B1496" s="77"/>
      <c r="D1496" s="1" t="str">
        <f t="shared" si="41"/>
        <v/>
      </c>
      <c r="E1496" s="20"/>
      <c r="K1496" s="25"/>
      <c r="L1496" s="23"/>
      <c r="M1496" s="32"/>
    </row>
    <row r="1497" spans="2:13" s="1" customFormat="1" x14ac:dyDescent="0.25">
      <c r="B1497" s="77"/>
      <c r="D1497" s="1" t="str">
        <f t="shared" si="41"/>
        <v/>
      </c>
      <c r="E1497" s="20"/>
      <c r="K1497" s="25"/>
      <c r="L1497" s="23"/>
      <c r="M1497" s="32"/>
    </row>
    <row r="1498" spans="2:13" s="1" customFormat="1" x14ac:dyDescent="0.25">
      <c r="B1498" s="77"/>
      <c r="D1498" s="1" t="str">
        <f t="shared" si="41"/>
        <v/>
      </c>
      <c r="E1498" s="20"/>
      <c r="K1498" s="25"/>
      <c r="L1498" s="23"/>
      <c r="M1498" s="32"/>
    </row>
    <row r="1499" spans="2:13" s="1" customFormat="1" x14ac:dyDescent="0.25">
      <c r="B1499" s="77"/>
      <c r="D1499" s="1" t="str">
        <f t="shared" si="41"/>
        <v/>
      </c>
      <c r="E1499" s="20"/>
      <c r="K1499" s="25"/>
      <c r="L1499" s="23"/>
      <c r="M1499" s="32"/>
    </row>
    <row r="1500" spans="2:13" s="1" customFormat="1" x14ac:dyDescent="0.25">
      <c r="B1500" s="77"/>
      <c r="D1500" s="1" t="str">
        <f t="shared" si="41"/>
        <v/>
      </c>
      <c r="E1500" s="20"/>
      <c r="K1500" s="25"/>
      <c r="L1500" s="23"/>
      <c r="M1500" s="32"/>
    </row>
    <row r="1501" spans="2:13" s="1" customFormat="1" x14ac:dyDescent="0.25">
      <c r="B1501" s="77"/>
      <c r="D1501" s="1" t="str">
        <f t="shared" si="41"/>
        <v/>
      </c>
      <c r="E1501" s="20"/>
      <c r="K1501" s="25"/>
      <c r="L1501" s="23"/>
      <c r="M1501" s="32"/>
    </row>
    <row r="1502" spans="2:13" s="1" customFormat="1" x14ac:dyDescent="0.25">
      <c r="B1502" s="77"/>
      <c r="D1502" s="1" t="str">
        <f t="shared" si="41"/>
        <v/>
      </c>
      <c r="E1502" s="20"/>
      <c r="K1502" s="25"/>
      <c r="L1502" s="23"/>
      <c r="M1502" s="32"/>
    </row>
    <row r="1503" spans="2:13" s="1" customFormat="1" x14ac:dyDescent="0.25">
      <c r="B1503" s="77"/>
      <c r="D1503" s="1" t="str">
        <f t="shared" si="41"/>
        <v/>
      </c>
      <c r="E1503" s="20"/>
      <c r="K1503" s="25"/>
      <c r="L1503" s="23"/>
      <c r="M1503" s="32"/>
    </row>
    <row r="1504" spans="2:13" s="1" customFormat="1" x14ac:dyDescent="0.25">
      <c r="B1504" s="77"/>
      <c r="D1504" s="1" t="str">
        <f t="shared" si="41"/>
        <v/>
      </c>
      <c r="E1504" s="20"/>
      <c r="K1504" s="25"/>
      <c r="L1504" s="23"/>
      <c r="M1504" s="32"/>
    </row>
    <row r="1505" spans="2:13" s="1" customFormat="1" x14ac:dyDescent="0.25">
      <c r="B1505" s="77"/>
      <c r="D1505" s="1" t="str">
        <f t="shared" si="41"/>
        <v/>
      </c>
      <c r="E1505" s="20"/>
      <c r="K1505" s="25"/>
      <c r="L1505" s="23"/>
      <c r="M1505" s="32"/>
    </row>
    <row r="1506" spans="2:13" s="1" customFormat="1" x14ac:dyDescent="0.25">
      <c r="B1506" s="77"/>
      <c r="D1506" s="1" t="str">
        <f t="shared" si="41"/>
        <v/>
      </c>
      <c r="E1506" s="20"/>
      <c r="K1506" s="25"/>
      <c r="L1506" s="23"/>
      <c r="M1506" s="32"/>
    </row>
    <row r="1507" spans="2:13" s="1" customFormat="1" x14ac:dyDescent="0.25">
      <c r="B1507" s="77"/>
      <c r="D1507" s="1" t="str">
        <f t="shared" si="41"/>
        <v/>
      </c>
      <c r="E1507" s="20"/>
      <c r="K1507" s="25"/>
      <c r="L1507" s="23"/>
      <c r="M1507" s="32"/>
    </row>
    <row r="1508" spans="2:13" s="1" customFormat="1" x14ac:dyDescent="0.25">
      <c r="B1508" s="77"/>
      <c r="D1508" s="1" t="str">
        <f t="shared" si="41"/>
        <v/>
      </c>
      <c r="E1508" s="20"/>
      <c r="K1508" s="25"/>
      <c r="L1508" s="23"/>
      <c r="M1508" s="32"/>
    </row>
    <row r="1509" spans="2:13" s="1" customFormat="1" x14ac:dyDescent="0.25">
      <c r="B1509" s="77"/>
      <c r="D1509" s="1" t="str">
        <f t="shared" si="41"/>
        <v/>
      </c>
      <c r="E1509" s="20"/>
      <c r="K1509" s="25"/>
      <c r="L1509" s="23"/>
      <c r="M1509" s="32"/>
    </row>
    <row r="1510" spans="2:13" s="1" customFormat="1" x14ac:dyDescent="0.25">
      <c r="B1510" s="77"/>
      <c r="D1510" s="1" t="str">
        <f t="shared" si="41"/>
        <v/>
      </c>
      <c r="E1510" s="20"/>
      <c r="K1510" s="25"/>
      <c r="L1510" s="23"/>
      <c r="M1510" s="32"/>
    </row>
    <row r="1511" spans="2:13" s="1" customFormat="1" x14ac:dyDescent="0.25">
      <c r="B1511" s="77"/>
      <c r="D1511" s="1" t="str">
        <f t="shared" si="41"/>
        <v/>
      </c>
      <c r="E1511" s="20"/>
      <c r="K1511" s="25"/>
      <c r="L1511" s="23"/>
      <c r="M1511" s="32"/>
    </row>
    <row r="1512" spans="2:13" s="1" customFormat="1" x14ac:dyDescent="0.25">
      <c r="B1512" s="77"/>
      <c r="D1512" s="1" t="str">
        <f t="shared" si="41"/>
        <v/>
      </c>
      <c r="E1512" s="20"/>
      <c r="K1512" s="25"/>
      <c r="L1512" s="23"/>
      <c r="M1512" s="32"/>
    </row>
    <row r="1513" spans="2:13" s="1" customFormat="1" x14ac:dyDescent="0.25">
      <c r="B1513" s="77"/>
      <c r="D1513" s="1" t="str">
        <f t="shared" si="41"/>
        <v/>
      </c>
      <c r="E1513" s="20"/>
      <c r="K1513" s="25"/>
      <c r="L1513" s="23"/>
      <c r="M1513" s="32"/>
    </row>
    <row r="1514" spans="2:13" s="1" customFormat="1" x14ac:dyDescent="0.25">
      <c r="B1514" s="77"/>
      <c r="D1514" s="1" t="str">
        <f t="shared" si="41"/>
        <v/>
      </c>
      <c r="E1514" s="20"/>
      <c r="K1514" s="25"/>
      <c r="L1514" s="23"/>
      <c r="M1514" s="32"/>
    </row>
    <row r="1515" spans="2:13" s="1" customFormat="1" x14ac:dyDescent="0.25">
      <c r="B1515" s="77"/>
      <c r="D1515" s="1" t="str">
        <f t="shared" si="41"/>
        <v/>
      </c>
      <c r="E1515" s="20"/>
      <c r="K1515" s="25"/>
      <c r="L1515" s="23"/>
      <c r="M1515" s="32"/>
    </row>
    <row r="1516" spans="2:13" s="1" customFormat="1" x14ac:dyDescent="0.25">
      <c r="B1516" s="77"/>
      <c r="D1516" s="1" t="str">
        <f t="shared" si="41"/>
        <v/>
      </c>
      <c r="E1516" s="20"/>
      <c r="K1516" s="25"/>
      <c r="L1516" s="23"/>
      <c r="M1516" s="32"/>
    </row>
    <row r="1517" spans="2:13" s="1" customFormat="1" x14ac:dyDescent="0.25">
      <c r="B1517" s="77"/>
      <c r="D1517" s="1" t="str">
        <f t="shared" si="41"/>
        <v/>
      </c>
      <c r="E1517" s="20"/>
      <c r="K1517" s="25"/>
      <c r="L1517" s="23"/>
      <c r="M1517" s="32"/>
    </row>
    <row r="1518" spans="2:13" s="1" customFormat="1" x14ac:dyDescent="0.25">
      <c r="B1518" s="77"/>
      <c r="D1518" s="1" t="str">
        <f t="shared" si="41"/>
        <v/>
      </c>
      <c r="E1518" s="20"/>
      <c r="K1518" s="25"/>
      <c r="L1518" s="23"/>
      <c r="M1518" s="32"/>
    </row>
    <row r="1519" spans="2:13" s="1" customFormat="1" x14ac:dyDescent="0.25">
      <c r="B1519" s="77"/>
      <c r="D1519" s="1" t="str">
        <f t="shared" si="41"/>
        <v/>
      </c>
      <c r="E1519" s="20"/>
      <c r="K1519" s="25"/>
      <c r="L1519" s="23"/>
      <c r="M1519" s="32"/>
    </row>
    <row r="1520" spans="2:13" s="1" customFormat="1" x14ac:dyDescent="0.25">
      <c r="B1520" s="77"/>
      <c r="D1520" s="1" t="str">
        <f t="shared" si="41"/>
        <v/>
      </c>
      <c r="E1520" s="20"/>
      <c r="K1520" s="25"/>
      <c r="L1520" s="23"/>
      <c r="M1520" s="32"/>
    </row>
    <row r="1521" spans="2:13" s="1" customFormat="1" x14ac:dyDescent="0.25">
      <c r="B1521" s="77"/>
      <c r="D1521" s="1" t="str">
        <f t="shared" si="41"/>
        <v/>
      </c>
      <c r="E1521" s="20"/>
      <c r="K1521" s="25"/>
      <c r="L1521" s="23"/>
      <c r="M1521" s="32"/>
    </row>
    <row r="1522" spans="2:13" s="1" customFormat="1" x14ac:dyDescent="0.25">
      <c r="B1522" s="77"/>
      <c r="D1522" s="1" t="str">
        <f t="shared" si="41"/>
        <v/>
      </c>
      <c r="E1522" s="20"/>
      <c r="K1522" s="25"/>
      <c r="L1522" s="23"/>
      <c r="M1522" s="32"/>
    </row>
    <row r="1523" spans="2:13" s="1" customFormat="1" x14ac:dyDescent="0.25">
      <c r="B1523" s="77"/>
      <c r="D1523" s="1" t="str">
        <f t="shared" si="41"/>
        <v/>
      </c>
      <c r="E1523" s="20"/>
      <c r="K1523" s="25"/>
      <c r="L1523" s="23"/>
      <c r="M1523" s="32"/>
    </row>
    <row r="1524" spans="2:13" s="1" customFormat="1" x14ac:dyDescent="0.25">
      <c r="B1524" s="77"/>
      <c r="D1524" s="1" t="str">
        <f t="shared" si="41"/>
        <v/>
      </c>
      <c r="E1524" s="20"/>
      <c r="K1524" s="25"/>
      <c r="L1524" s="23"/>
      <c r="M1524" s="32"/>
    </row>
    <row r="1525" spans="2:13" s="1" customFormat="1" x14ac:dyDescent="0.25">
      <c r="B1525" s="77"/>
      <c r="D1525" s="1" t="str">
        <f t="shared" si="41"/>
        <v/>
      </c>
      <c r="E1525" s="20"/>
      <c r="K1525" s="25"/>
      <c r="L1525" s="23"/>
      <c r="M1525" s="32"/>
    </row>
    <row r="1526" spans="2:13" s="1" customFormat="1" x14ac:dyDescent="0.25">
      <c r="B1526" s="77"/>
      <c r="D1526" s="1" t="str">
        <f t="shared" si="41"/>
        <v/>
      </c>
      <c r="E1526" s="20"/>
      <c r="K1526" s="25"/>
      <c r="L1526" s="23"/>
      <c r="M1526" s="32"/>
    </row>
    <row r="1527" spans="2:13" s="1" customFormat="1" x14ac:dyDescent="0.25">
      <c r="B1527" s="77"/>
      <c r="D1527" s="1" t="str">
        <f t="shared" si="41"/>
        <v/>
      </c>
      <c r="E1527" s="20"/>
      <c r="K1527" s="25"/>
      <c r="L1527" s="23"/>
      <c r="M1527" s="32"/>
    </row>
    <row r="1528" spans="2:13" s="1" customFormat="1" x14ac:dyDescent="0.25">
      <c r="B1528" s="77"/>
      <c r="D1528" s="1" t="str">
        <f t="shared" si="41"/>
        <v/>
      </c>
      <c r="E1528" s="20"/>
      <c r="K1528" s="25"/>
      <c r="L1528" s="23"/>
      <c r="M1528" s="32"/>
    </row>
    <row r="1529" spans="2:13" s="1" customFormat="1" x14ac:dyDescent="0.25">
      <c r="B1529" s="77"/>
      <c r="D1529" s="1" t="str">
        <f t="shared" si="41"/>
        <v/>
      </c>
      <c r="E1529" s="20"/>
      <c r="K1529" s="25"/>
      <c r="L1529" s="23"/>
      <c r="M1529" s="32"/>
    </row>
    <row r="1530" spans="2:13" s="1" customFormat="1" x14ac:dyDescent="0.25">
      <c r="B1530" s="77"/>
      <c r="D1530" s="1" t="str">
        <f t="shared" si="41"/>
        <v/>
      </c>
      <c r="E1530" s="20"/>
      <c r="K1530" s="25"/>
      <c r="L1530" s="23"/>
      <c r="M1530" s="32"/>
    </row>
    <row r="1531" spans="2:13" s="1" customFormat="1" x14ac:dyDescent="0.25">
      <c r="B1531" s="77"/>
      <c r="D1531" s="1" t="str">
        <f t="shared" si="41"/>
        <v/>
      </c>
      <c r="E1531" s="20"/>
      <c r="K1531" s="25"/>
      <c r="L1531" s="23"/>
      <c r="M1531" s="32"/>
    </row>
    <row r="1532" spans="2:13" s="1" customFormat="1" x14ac:dyDescent="0.25">
      <c r="B1532" s="77"/>
      <c r="D1532" s="1" t="str">
        <f t="shared" si="41"/>
        <v/>
      </c>
      <c r="E1532" s="20"/>
      <c r="K1532" s="25"/>
      <c r="L1532" s="23"/>
      <c r="M1532" s="32"/>
    </row>
    <row r="1533" spans="2:13" s="1" customFormat="1" x14ac:dyDescent="0.25">
      <c r="B1533" s="77"/>
      <c r="D1533" s="1" t="str">
        <f t="shared" si="41"/>
        <v/>
      </c>
      <c r="E1533" s="20"/>
      <c r="K1533" s="25"/>
      <c r="L1533" s="23"/>
      <c r="M1533" s="32"/>
    </row>
    <row r="1534" spans="2:13" s="1" customFormat="1" x14ac:dyDescent="0.25">
      <c r="B1534" s="77"/>
      <c r="D1534" s="1" t="str">
        <f t="shared" si="41"/>
        <v/>
      </c>
      <c r="E1534" s="20"/>
      <c r="K1534" s="25"/>
      <c r="L1534" s="23"/>
      <c r="M1534" s="32"/>
    </row>
    <row r="1535" spans="2:13" s="1" customFormat="1" x14ac:dyDescent="0.25">
      <c r="B1535" s="77"/>
      <c r="D1535" s="1" t="str">
        <f t="shared" si="41"/>
        <v/>
      </c>
      <c r="E1535" s="20"/>
      <c r="K1535" s="25"/>
      <c r="L1535" s="23"/>
      <c r="M1535" s="32"/>
    </row>
    <row r="1536" spans="2:13" s="1" customFormat="1" x14ac:dyDescent="0.25">
      <c r="B1536" s="77"/>
      <c r="D1536" s="1" t="str">
        <f t="shared" si="41"/>
        <v/>
      </c>
      <c r="E1536" s="20"/>
      <c r="K1536" s="25"/>
      <c r="L1536" s="23"/>
      <c r="M1536" s="32"/>
    </row>
    <row r="1537" spans="2:13" s="1" customFormat="1" x14ac:dyDescent="0.25">
      <c r="B1537" s="77"/>
      <c r="D1537" s="1" t="str">
        <f t="shared" si="41"/>
        <v/>
      </c>
      <c r="E1537" s="20"/>
      <c r="K1537" s="25"/>
      <c r="L1537" s="23"/>
      <c r="M1537" s="32"/>
    </row>
    <row r="1538" spans="2:13" s="1" customFormat="1" x14ac:dyDescent="0.25">
      <c r="B1538" s="77"/>
      <c r="D1538" s="1" t="str">
        <f t="shared" si="41"/>
        <v/>
      </c>
      <c r="E1538" s="20"/>
      <c r="K1538" s="25"/>
      <c r="L1538" s="23"/>
      <c r="M1538" s="32"/>
    </row>
    <row r="1539" spans="2:13" s="1" customFormat="1" x14ac:dyDescent="0.25">
      <c r="B1539" s="77"/>
      <c r="D1539" s="1" t="str">
        <f t="shared" si="41"/>
        <v/>
      </c>
      <c r="E1539" s="20"/>
      <c r="K1539" s="25"/>
      <c r="L1539" s="23"/>
      <c r="M1539" s="32"/>
    </row>
    <row r="1540" spans="2:13" s="1" customFormat="1" x14ac:dyDescent="0.25">
      <c r="B1540" s="77"/>
      <c r="D1540" s="1" t="str">
        <f t="shared" si="41"/>
        <v/>
      </c>
      <c r="E1540" s="20"/>
      <c r="K1540" s="25"/>
      <c r="L1540" s="23"/>
      <c r="M1540" s="32"/>
    </row>
    <row r="1541" spans="2:13" s="1" customFormat="1" x14ac:dyDescent="0.25">
      <c r="B1541" s="77"/>
      <c r="D1541" s="1" t="str">
        <f t="shared" si="41"/>
        <v/>
      </c>
      <c r="E1541" s="20"/>
      <c r="K1541" s="25"/>
      <c r="L1541" s="23"/>
      <c r="M1541" s="32"/>
    </row>
    <row r="1542" spans="2:13" s="1" customFormat="1" x14ac:dyDescent="0.25">
      <c r="B1542" s="77"/>
      <c r="D1542" s="1" t="str">
        <f t="shared" si="41"/>
        <v/>
      </c>
      <c r="E1542" s="20"/>
      <c r="K1542" s="25"/>
      <c r="L1542" s="23"/>
      <c r="M1542" s="32"/>
    </row>
    <row r="1543" spans="2:13" s="1" customFormat="1" x14ac:dyDescent="0.25">
      <c r="B1543" s="77"/>
      <c r="D1543" s="1" t="str">
        <f t="shared" si="41"/>
        <v/>
      </c>
      <c r="E1543" s="20"/>
      <c r="K1543" s="25"/>
      <c r="L1543" s="23"/>
      <c r="M1543" s="32"/>
    </row>
    <row r="1544" spans="2:13" s="1" customFormat="1" x14ac:dyDescent="0.25">
      <c r="B1544" s="77"/>
      <c r="D1544" s="1" t="str">
        <f t="shared" ref="D1544:D1607" si="42">IF(F1544&lt;&gt;"",RIGHT(F1544, LEN(F1544) - FIND(" - ", F1544) - 2),"")</f>
        <v/>
      </c>
      <c r="E1544" s="20"/>
      <c r="K1544" s="25"/>
      <c r="L1544" s="23"/>
      <c r="M1544" s="32"/>
    </row>
    <row r="1545" spans="2:13" s="1" customFormat="1" x14ac:dyDescent="0.25">
      <c r="B1545" s="77"/>
      <c r="D1545" s="1" t="str">
        <f t="shared" si="42"/>
        <v/>
      </c>
      <c r="E1545" s="20"/>
      <c r="K1545" s="25"/>
      <c r="L1545" s="23"/>
      <c r="M1545" s="32"/>
    </row>
    <row r="1546" spans="2:13" s="1" customFormat="1" x14ac:dyDescent="0.25">
      <c r="B1546" s="77"/>
      <c r="D1546" s="1" t="str">
        <f t="shared" si="42"/>
        <v/>
      </c>
      <c r="E1546" s="20"/>
      <c r="K1546" s="25"/>
      <c r="L1546" s="23"/>
      <c r="M1546" s="32"/>
    </row>
    <row r="1547" spans="2:13" s="1" customFormat="1" x14ac:dyDescent="0.25">
      <c r="B1547" s="77"/>
      <c r="D1547" s="1" t="str">
        <f t="shared" si="42"/>
        <v/>
      </c>
      <c r="E1547" s="20"/>
      <c r="K1547" s="25"/>
      <c r="L1547" s="23"/>
      <c r="M1547" s="32"/>
    </row>
    <row r="1548" spans="2:13" s="1" customFormat="1" x14ac:dyDescent="0.25">
      <c r="B1548" s="77"/>
      <c r="D1548" s="1" t="str">
        <f t="shared" si="42"/>
        <v/>
      </c>
      <c r="E1548" s="20"/>
      <c r="K1548" s="25"/>
      <c r="L1548" s="23"/>
      <c r="M1548" s="32"/>
    </row>
    <row r="1549" spans="2:13" s="1" customFormat="1" x14ac:dyDescent="0.25">
      <c r="B1549" s="77"/>
      <c r="D1549" s="1" t="str">
        <f t="shared" si="42"/>
        <v/>
      </c>
      <c r="E1549" s="20"/>
      <c r="K1549" s="25"/>
      <c r="L1549" s="23"/>
      <c r="M1549" s="32"/>
    </row>
    <row r="1550" spans="2:13" s="1" customFormat="1" x14ac:dyDescent="0.25">
      <c r="B1550" s="77"/>
      <c r="D1550" s="1" t="str">
        <f t="shared" si="42"/>
        <v/>
      </c>
      <c r="E1550" s="20"/>
      <c r="K1550" s="25"/>
      <c r="L1550" s="23"/>
      <c r="M1550" s="32"/>
    </row>
    <row r="1551" spans="2:13" s="1" customFormat="1" x14ac:dyDescent="0.25">
      <c r="B1551" s="77"/>
      <c r="D1551" s="1" t="str">
        <f t="shared" si="42"/>
        <v/>
      </c>
      <c r="E1551" s="20"/>
      <c r="K1551" s="25"/>
      <c r="L1551" s="23"/>
      <c r="M1551" s="32"/>
    </row>
    <row r="1552" spans="2:13" s="1" customFormat="1" x14ac:dyDescent="0.25">
      <c r="B1552" s="77"/>
      <c r="D1552" s="1" t="str">
        <f t="shared" si="42"/>
        <v/>
      </c>
      <c r="E1552" s="20"/>
      <c r="K1552" s="25"/>
      <c r="L1552" s="23"/>
      <c r="M1552" s="32"/>
    </row>
    <row r="1553" spans="2:13" s="1" customFormat="1" x14ac:dyDescent="0.25">
      <c r="B1553" s="77"/>
      <c r="D1553" s="1" t="str">
        <f t="shared" si="42"/>
        <v/>
      </c>
      <c r="E1553" s="20"/>
      <c r="K1553" s="25"/>
      <c r="L1553" s="23"/>
      <c r="M1553" s="32"/>
    </row>
    <row r="1554" spans="2:13" s="1" customFormat="1" x14ac:dyDescent="0.25">
      <c r="B1554" s="77"/>
      <c r="D1554" s="1" t="str">
        <f t="shared" si="42"/>
        <v/>
      </c>
      <c r="E1554" s="20"/>
      <c r="K1554" s="25"/>
      <c r="L1554" s="23"/>
      <c r="M1554" s="32"/>
    </row>
    <row r="1555" spans="2:13" s="1" customFormat="1" x14ac:dyDescent="0.25">
      <c r="B1555" s="77"/>
      <c r="D1555" s="1" t="str">
        <f t="shared" si="42"/>
        <v/>
      </c>
      <c r="E1555" s="20"/>
      <c r="K1555" s="25"/>
      <c r="L1555" s="23"/>
      <c r="M1555" s="32"/>
    </row>
    <row r="1556" spans="2:13" s="1" customFormat="1" x14ac:dyDescent="0.25">
      <c r="B1556" s="77"/>
      <c r="D1556" s="1" t="str">
        <f t="shared" si="42"/>
        <v/>
      </c>
      <c r="E1556" s="20"/>
      <c r="K1556" s="25"/>
      <c r="L1556" s="23"/>
      <c r="M1556" s="32"/>
    </row>
    <row r="1557" spans="2:13" s="1" customFormat="1" x14ac:dyDescent="0.25">
      <c r="B1557" s="77"/>
      <c r="D1557" s="1" t="str">
        <f t="shared" si="42"/>
        <v/>
      </c>
      <c r="E1557" s="20"/>
      <c r="K1557" s="25"/>
      <c r="L1557" s="23"/>
      <c r="M1557" s="32"/>
    </row>
    <row r="1558" spans="2:13" s="1" customFormat="1" x14ac:dyDescent="0.25">
      <c r="B1558" s="77"/>
      <c r="D1558" s="1" t="str">
        <f t="shared" si="42"/>
        <v/>
      </c>
      <c r="E1558" s="20"/>
      <c r="K1558" s="25"/>
      <c r="L1558" s="23"/>
      <c r="M1558" s="32"/>
    </row>
    <row r="1559" spans="2:13" s="1" customFormat="1" x14ac:dyDescent="0.25">
      <c r="B1559" s="77"/>
      <c r="D1559" s="1" t="str">
        <f t="shared" si="42"/>
        <v/>
      </c>
      <c r="E1559" s="20"/>
      <c r="K1559" s="25"/>
      <c r="L1559" s="23"/>
      <c r="M1559" s="32"/>
    </row>
    <row r="1560" spans="2:13" s="1" customFormat="1" x14ac:dyDescent="0.25">
      <c r="B1560" s="77"/>
      <c r="D1560" s="1" t="str">
        <f t="shared" si="42"/>
        <v/>
      </c>
      <c r="E1560" s="20"/>
      <c r="K1560" s="25"/>
      <c r="L1560" s="23"/>
      <c r="M1560" s="32"/>
    </row>
    <row r="1561" spans="2:13" s="1" customFormat="1" x14ac:dyDescent="0.25">
      <c r="B1561" s="77"/>
      <c r="D1561" s="1" t="str">
        <f t="shared" si="42"/>
        <v/>
      </c>
      <c r="E1561" s="20"/>
      <c r="K1561" s="25"/>
      <c r="L1561" s="23"/>
      <c r="M1561" s="32"/>
    </row>
    <row r="1562" spans="2:13" s="1" customFormat="1" x14ac:dyDescent="0.25">
      <c r="B1562" s="77"/>
      <c r="D1562" s="1" t="str">
        <f t="shared" si="42"/>
        <v/>
      </c>
      <c r="E1562" s="20"/>
      <c r="K1562" s="25"/>
      <c r="L1562" s="23"/>
      <c r="M1562" s="32"/>
    </row>
    <row r="1563" spans="2:13" s="1" customFormat="1" x14ac:dyDescent="0.25">
      <c r="B1563" s="77"/>
      <c r="D1563" s="1" t="str">
        <f t="shared" si="42"/>
        <v/>
      </c>
      <c r="E1563" s="20"/>
      <c r="K1563" s="25"/>
      <c r="L1563" s="23"/>
      <c r="M1563" s="32"/>
    </row>
    <row r="1564" spans="2:13" s="1" customFormat="1" x14ac:dyDescent="0.25">
      <c r="B1564" s="77"/>
      <c r="D1564" s="1" t="str">
        <f t="shared" si="42"/>
        <v/>
      </c>
      <c r="E1564" s="20"/>
      <c r="K1564" s="25"/>
      <c r="L1564" s="23"/>
      <c r="M1564" s="32"/>
    </row>
    <row r="1565" spans="2:13" s="1" customFormat="1" x14ac:dyDescent="0.25">
      <c r="B1565" s="77"/>
      <c r="D1565" s="1" t="str">
        <f t="shared" si="42"/>
        <v/>
      </c>
      <c r="E1565" s="20"/>
      <c r="K1565" s="25"/>
      <c r="L1565" s="23"/>
      <c r="M1565" s="32"/>
    </row>
    <row r="1566" spans="2:13" s="1" customFormat="1" x14ac:dyDescent="0.25">
      <c r="B1566" s="77"/>
      <c r="D1566" s="1" t="str">
        <f t="shared" si="42"/>
        <v/>
      </c>
      <c r="E1566" s="20"/>
      <c r="K1566" s="25"/>
      <c r="L1566" s="23"/>
      <c r="M1566" s="32"/>
    </row>
    <row r="1567" spans="2:13" s="1" customFormat="1" x14ac:dyDescent="0.25">
      <c r="B1567" s="77"/>
      <c r="D1567" s="1" t="str">
        <f t="shared" si="42"/>
        <v/>
      </c>
      <c r="E1567" s="20"/>
      <c r="K1567" s="25"/>
      <c r="L1567" s="23"/>
      <c r="M1567" s="32"/>
    </row>
    <row r="1568" spans="2:13" s="1" customFormat="1" x14ac:dyDescent="0.25">
      <c r="B1568" s="77"/>
      <c r="D1568" s="1" t="str">
        <f t="shared" si="42"/>
        <v/>
      </c>
      <c r="E1568" s="20"/>
      <c r="K1568" s="25"/>
      <c r="L1568" s="23"/>
      <c r="M1568" s="32"/>
    </row>
    <row r="1569" spans="2:13" s="1" customFormat="1" x14ac:dyDescent="0.25">
      <c r="B1569" s="77"/>
      <c r="D1569" s="1" t="str">
        <f t="shared" si="42"/>
        <v/>
      </c>
      <c r="E1569" s="20"/>
      <c r="K1569" s="25"/>
      <c r="L1569" s="23"/>
      <c r="M1569" s="32"/>
    </row>
    <row r="1570" spans="2:13" s="1" customFormat="1" x14ac:dyDescent="0.25">
      <c r="B1570" s="77"/>
      <c r="D1570" s="1" t="str">
        <f t="shared" si="42"/>
        <v/>
      </c>
      <c r="E1570" s="20"/>
      <c r="K1570" s="25"/>
      <c r="L1570" s="23"/>
      <c r="M1570" s="32"/>
    </row>
    <row r="1571" spans="2:13" s="1" customFormat="1" x14ac:dyDescent="0.25">
      <c r="B1571" s="77"/>
      <c r="D1571" s="1" t="str">
        <f t="shared" si="42"/>
        <v/>
      </c>
      <c r="E1571" s="20"/>
      <c r="K1571" s="25"/>
      <c r="L1571" s="23"/>
      <c r="M1571" s="32"/>
    </row>
    <row r="1572" spans="2:13" s="1" customFormat="1" x14ac:dyDescent="0.25">
      <c r="B1572" s="77"/>
      <c r="D1572" s="1" t="str">
        <f t="shared" si="42"/>
        <v/>
      </c>
      <c r="E1572" s="20"/>
      <c r="K1572" s="25"/>
      <c r="L1572" s="23"/>
      <c r="M1572" s="32"/>
    </row>
    <row r="1573" spans="2:13" s="1" customFormat="1" x14ac:dyDescent="0.25">
      <c r="B1573" s="77"/>
      <c r="D1573" s="1" t="str">
        <f t="shared" si="42"/>
        <v/>
      </c>
      <c r="E1573" s="20"/>
      <c r="K1573" s="25"/>
      <c r="L1573" s="23"/>
      <c r="M1573" s="32"/>
    </row>
    <row r="1574" spans="2:13" s="1" customFormat="1" x14ac:dyDescent="0.25">
      <c r="B1574" s="77"/>
      <c r="D1574" s="1" t="str">
        <f t="shared" si="42"/>
        <v/>
      </c>
      <c r="E1574" s="20"/>
      <c r="K1574" s="25"/>
      <c r="L1574" s="23"/>
      <c r="M1574" s="32"/>
    </row>
    <row r="1575" spans="2:13" s="1" customFormat="1" x14ac:dyDescent="0.25">
      <c r="B1575" s="77"/>
      <c r="D1575" s="1" t="str">
        <f t="shared" si="42"/>
        <v/>
      </c>
      <c r="E1575" s="20"/>
      <c r="K1575" s="25"/>
      <c r="L1575" s="23"/>
      <c r="M1575" s="32"/>
    </row>
    <row r="1576" spans="2:13" s="1" customFormat="1" x14ac:dyDescent="0.25">
      <c r="B1576" s="77"/>
      <c r="D1576" s="1" t="str">
        <f t="shared" si="42"/>
        <v/>
      </c>
      <c r="E1576" s="20"/>
      <c r="K1576" s="25"/>
      <c r="L1576" s="23"/>
      <c r="M1576" s="32"/>
    </row>
    <row r="1577" spans="2:13" s="1" customFormat="1" x14ac:dyDescent="0.25">
      <c r="B1577" s="77"/>
      <c r="D1577" s="1" t="str">
        <f t="shared" si="42"/>
        <v/>
      </c>
      <c r="E1577" s="20"/>
      <c r="K1577" s="25"/>
      <c r="L1577" s="23"/>
      <c r="M1577" s="32"/>
    </row>
    <row r="1578" spans="2:13" s="1" customFormat="1" x14ac:dyDescent="0.25">
      <c r="B1578" s="77"/>
      <c r="D1578" s="1" t="str">
        <f t="shared" si="42"/>
        <v/>
      </c>
      <c r="E1578" s="20"/>
      <c r="K1578" s="25"/>
      <c r="L1578" s="23"/>
      <c r="M1578" s="32"/>
    </row>
    <row r="1579" spans="2:13" s="1" customFormat="1" x14ac:dyDescent="0.25">
      <c r="B1579" s="77"/>
      <c r="D1579" s="1" t="str">
        <f t="shared" si="42"/>
        <v/>
      </c>
      <c r="E1579" s="20"/>
      <c r="K1579" s="25"/>
      <c r="L1579" s="23"/>
      <c r="M1579" s="32"/>
    </row>
    <row r="1580" spans="2:13" s="1" customFormat="1" x14ac:dyDescent="0.25">
      <c r="B1580" s="77"/>
      <c r="D1580" s="1" t="str">
        <f t="shared" si="42"/>
        <v/>
      </c>
      <c r="E1580" s="20"/>
      <c r="K1580" s="25"/>
      <c r="L1580" s="23"/>
      <c r="M1580" s="32"/>
    </row>
    <row r="1581" spans="2:13" s="1" customFormat="1" x14ac:dyDescent="0.25">
      <c r="B1581" s="77"/>
      <c r="D1581" s="1" t="str">
        <f t="shared" si="42"/>
        <v/>
      </c>
      <c r="E1581" s="20"/>
      <c r="K1581" s="25"/>
      <c r="L1581" s="23"/>
      <c r="M1581" s="32"/>
    </row>
    <row r="1582" spans="2:13" s="1" customFormat="1" x14ac:dyDescent="0.25">
      <c r="B1582" s="77"/>
      <c r="D1582" s="1" t="str">
        <f t="shared" si="42"/>
        <v/>
      </c>
      <c r="E1582" s="20"/>
      <c r="K1582" s="25"/>
      <c r="L1582" s="23"/>
      <c r="M1582" s="32"/>
    </row>
    <row r="1583" spans="2:13" s="1" customFormat="1" x14ac:dyDescent="0.25">
      <c r="B1583" s="77"/>
      <c r="D1583" s="1" t="str">
        <f t="shared" si="42"/>
        <v/>
      </c>
      <c r="E1583" s="20"/>
      <c r="K1583" s="25"/>
      <c r="L1583" s="23"/>
      <c r="M1583" s="32"/>
    </row>
    <row r="1584" spans="2:13" s="1" customFormat="1" x14ac:dyDescent="0.25">
      <c r="B1584" s="77"/>
      <c r="D1584" s="1" t="str">
        <f t="shared" si="42"/>
        <v/>
      </c>
      <c r="E1584" s="20"/>
      <c r="K1584" s="25"/>
      <c r="L1584" s="23"/>
      <c r="M1584" s="32"/>
    </row>
    <row r="1585" spans="2:13" s="1" customFormat="1" x14ac:dyDescent="0.25">
      <c r="B1585" s="77"/>
      <c r="D1585" s="1" t="str">
        <f t="shared" si="42"/>
        <v/>
      </c>
      <c r="E1585" s="20"/>
      <c r="K1585" s="25"/>
      <c r="L1585" s="23"/>
      <c r="M1585" s="32"/>
    </row>
    <row r="1586" spans="2:13" s="1" customFormat="1" x14ac:dyDescent="0.25">
      <c r="B1586" s="77"/>
      <c r="D1586" s="1" t="str">
        <f t="shared" si="42"/>
        <v/>
      </c>
      <c r="E1586" s="20"/>
      <c r="K1586" s="25"/>
      <c r="L1586" s="23"/>
      <c r="M1586" s="32"/>
    </row>
    <row r="1587" spans="2:13" s="1" customFormat="1" x14ac:dyDescent="0.25">
      <c r="B1587" s="77"/>
      <c r="D1587" s="1" t="str">
        <f t="shared" si="42"/>
        <v/>
      </c>
      <c r="E1587" s="20"/>
      <c r="K1587" s="25"/>
      <c r="L1587" s="23"/>
      <c r="M1587" s="32"/>
    </row>
    <row r="1588" spans="2:13" s="1" customFormat="1" x14ac:dyDescent="0.25">
      <c r="B1588" s="77"/>
      <c r="D1588" s="1" t="str">
        <f t="shared" si="42"/>
        <v/>
      </c>
      <c r="E1588" s="20"/>
      <c r="K1588" s="25"/>
      <c r="L1588" s="23"/>
      <c r="M1588" s="32"/>
    </row>
    <row r="1589" spans="2:13" s="1" customFormat="1" x14ac:dyDescent="0.25">
      <c r="B1589" s="77"/>
      <c r="D1589" s="1" t="str">
        <f t="shared" si="42"/>
        <v/>
      </c>
      <c r="E1589" s="20"/>
      <c r="K1589" s="25"/>
      <c r="L1589" s="23"/>
      <c r="M1589" s="32"/>
    </row>
    <row r="1590" spans="2:13" s="1" customFormat="1" x14ac:dyDescent="0.25">
      <c r="B1590" s="77"/>
      <c r="D1590" s="1" t="str">
        <f t="shared" si="42"/>
        <v/>
      </c>
      <c r="E1590" s="20"/>
      <c r="K1590" s="25"/>
      <c r="L1590" s="23"/>
      <c r="M1590" s="32"/>
    </row>
    <row r="1591" spans="2:13" s="1" customFormat="1" x14ac:dyDescent="0.25">
      <c r="B1591" s="77"/>
      <c r="D1591" s="1" t="str">
        <f t="shared" si="42"/>
        <v/>
      </c>
      <c r="E1591" s="20"/>
      <c r="K1591" s="25"/>
      <c r="L1591" s="23"/>
      <c r="M1591" s="32"/>
    </row>
    <row r="1592" spans="2:13" s="1" customFormat="1" x14ac:dyDescent="0.25">
      <c r="B1592" s="77"/>
      <c r="D1592" s="1" t="str">
        <f t="shared" si="42"/>
        <v/>
      </c>
      <c r="E1592" s="20"/>
      <c r="K1592" s="25"/>
      <c r="L1592" s="23"/>
      <c r="M1592" s="32"/>
    </row>
    <row r="1593" spans="2:13" s="1" customFormat="1" x14ac:dyDescent="0.25">
      <c r="B1593" s="77"/>
      <c r="D1593" s="1" t="str">
        <f t="shared" si="42"/>
        <v/>
      </c>
      <c r="E1593" s="20"/>
      <c r="K1593" s="25"/>
      <c r="L1593" s="23"/>
      <c r="M1593" s="32"/>
    </row>
    <row r="1594" spans="2:13" s="1" customFormat="1" x14ac:dyDescent="0.25">
      <c r="B1594" s="77"/>
      <c r="D1594" s="1" t="str">
        <f t="shared" si="42"/>
        <v/>
      </c>
      <c r="E1594" s="20"/>
      <c r="K1594" s="25"/>
      <c r="L1594" s="23"/>
      <c r="M1594" s="32"/>
    </row>
    <row r="1595" spans="2:13" s="1" customFormat="1" x14ac:dyDescent="0.25">
      <c r="B1595" s="77"/>
      <c r="D1595" s="1" t="str">
        <f t="shared" si="42"/>
        <v/>
      </c>
      <c r="E1595" s="20"/>
      <c r="K1595" s="25"/>
      <c r="L1595" s="23"/>
      <c r="M1595" s="32"/>
    </row>
    <row r="1596" spans="2:13" s="1" customFormat="1" x14ac:dyDescent="0.25">
      <c r="B1596" s="77"/>
      <c r="D1596" s="1" t="str">
        <f t="shared" si="42"/>
        <v/>
      </c>
      <c r="E1596" s="20"/>
      <c r="K1596" s="25"/>
      <c r="L1596" s="23"/>
      <c r="M1596" s="32"/>
    </row>
    <row r="1597" spans="2:13" s="1" customFormat="1" x14ac:dyDescent="0.25">
      <c r="B1597" s="77"/>
      <c r="D1597" s="1" t="str">
        <f t="shared" si="42"/>
        <v/>
      </c>
      <c r="E1597" s="20"/>
      <c r="K1597" s="25"/>
      <c r="L1597" s="23"/>
      <c r="M1597" s="32"/>
    </row>
    <row r="1598" spans="2:13" s="1" customFormat="1" x14ac:dyDescent="0.25">
      <c r="B1598" s="77"/>
      <c r="D1598" s="1" t="str">
        <f t="shared" si="42"/>
        <v/>
      </c>
      <c r="E1598" s="20"/>
      <c r="K1598" s="25"/>
      <c r="L1598" s="23"/>
      <c r="M1598" s="32"/>
    </row>
    <row r="1599" spans="2:13" s="1" customFormat="1" x14ac:dyDescent="0.25">
      <c r="B1599" s="77"/>
      <c r="D1599" s="1" t="str">
        <f t="shared" si="42"/>
        <v/>
      </c>
      <c r="E1599" s="20"/>
      <c r="K1599" s="25"/>
      <c r="L1599" s="23"/>
      <c r="M1599" s="32"/>
    </row>
    <row r="1600" spans="2:13" s="1" customFormat="1" x14ac:dyDescent="0.25">
      <c r="B1600" s="77"/>
      <c r="D1600" s="1" t="str">
        <f t="shared" si="42"/>
        <v/>
      </c>
      <c r="E1600" s="20"/>
      <c r="K1600" s="25"/>
      <c r="L1600" s="23"/>
      <c r="M1600" s="32"/>
    </row>
    <row r="1601" spans="2:13" s="1" customFormat="1" x14ac:dyDescent="0.25">
      <c r="B1601" s="77"/>
      <c r="D1601" s="1" t="str">
        <f t="shared" si="42"/>
        <v/>
      </c>
      <c r="E1601" s="20"/>
      <c r="K1601" s="25"/>
      <c r="L1601" s="23"/>
      <c r="M1601" s="32"/>
    </row>
    <row r="1602" spans="2:13" s="1" customFormat="1" x14ac:dyDescent="0.25">
      <c r="B1602" s="77"/>
      <c r="D1602" s="1" t="str">
        <f t="shared" si="42"/>
        <v/>
      </c>
      <c r="E1602" s="20"/>
      <c r="K1602" s="25"/>
      <c r="L1602" s="23"/>
      <c r="M1602" s="32"/>
    </row>
    <row r="1603" spans="2:13" s="1" customFormat="1" x14ac:dyDescent="0.25">
      <c r="B1603" s="77"/>
      <c r="D1603" s="1" t="str">
        <f t="shared" si="42"/>
        <v/>
      </c>
      <c r="E1603" s="20"/>
      <c r="K1603" s="25"/>
      <c r="L1603" s="23"/>
      <c r="M1603" s="32"/>
    </row>
    <row r="1604" spans="2:13" s="1" customFormat="1" x14ac:dyDescent="0.25">
      <c r="B1604" s="77"/>
      <c r="D1604" s="1" t="str">
        <f t="shared" si="42"/>
        <v/>
      </c>
      <c r="E1604" s="20"/>
      <c r="K1604" s="25"/>
      <c r="L1604" s="23"/>
      <c r="M1604" s="32"/>
    </row>
    <row r="1605" spans="2:13" s="1" customFormat="1" x14ac:dyDescent="0.25">
      <c r="B1605" s="77"/>
      <c r="D1605" s="1" t="str">
        <f t="shared" si="42"/>
        <v/>
      </c>
      <c r="E1605" s="20"/>
      <c r="K1605" s="25"/>
      <c r="L1605" s="23"/>
      <c r="M1605" s="32"/>
    </row>
    <row r="1606" spans="2:13" s="1" customFormat="1" x14ac:dyDescent="0.25">
      <c r="B1606" s="77"/>
      <c r="D1606" s="1" t="str">
        <f t="shared" si="42"/>
        <v/>
      </c>
      <c r="E1606" s="20"/>
      <c r="K1606" s="25"/>
      <c r="L1606" s="23"/>
      <c r="M1606" s="32"/>
    </row>
    <row r="1607" spans="2:13" s="1" customFormat="1" x14ac:dyDescent="0.25">
      <c r="B1607" s="77"/>
      <c r="D1607" s="1" t="str">
        <f t="shared" si="42"/>
        <v/>
      </c>
      <c r="E1607" s="20"/>
      <c r="K1607" s="25"/>
      <c r="L1607" s="23"/>
      <c r="M1607" s="32"/>
    </row>
    <row r="1608" spans="2:13" s="1" customFormat="1" x14ac:dyDescent="0.25">
      <c r="B1608" s="77"/>
      <c r="D1608" s="1" t="str">
        <f t="shared" ref="D1608:D1626" si="43">IF(F1608&lt;&gt;"",RIGHT(F1608, LEN(F1608) - FIND(" - ", F1608) - 2),"")</f>
        <v/>
      </c>
      <c r="E1608" s="20"/>
      <c r="K1608" s="25"/>
      <c r="L1608" s="23"/>
      <c r="M1608" s="32"/>
    </row>
    <row r="1609" spans="2:13" s="1" customFormat="1" x14ac:dyDescent="0.25">
      <c r="B1609" s="77"/>
      <c r="D1609" s="1" t="str">
        <f t="shared" si="43"/>
        <v/>
      </c>
      <c r="E1609" s="20"/>
      <c r="K1609" s="25"/>
      <c r="L1609" s="23"/>
      <c r="M1609" s="32"/>
    </row>
    <row r="1610" spans="2:13" s="1" customFormat="1" x14ac:dyDescent="0.25">
      <c r="B1610" s="77"/>
      <c r="D1610" s="1" t="str">
        <f t="shared" si="43"/>
        <v/>
      </c>
      <c r="E1610" s="20"/>
      <c r="K1610" s="25"/>
      <c r="L1610" s="23"/>
      <c r="M1610" s="32"/>
    </row>
    <row r="1611" spans="2:13" s="1" customFormat="1" x14ac:dyDescent="0.25">
      <c r="B1611" s="77"/>
      <c r="D1611" s="1" t="str">
        <f t="shared" si="43"/>
        <v/>
      </c>
      <c r="E1611" s="20"/>
      <c r="K1611" s="25"/>
      <c r="L1611" s="23"/>
      <c r="M1611" s="32"/>
    </row>
    <row r="1612" spans="2:13" s="1" customFormat="1" x14ac:dyDescent="0.25">
      <c r="B1612" s="77"/>
      <c r="D1612" s="1" t="str">
        <f t="shared" si="43"/>
        <v/>
      </c>
      <c r="E1612" s="20"/>
      <c r="K1612" s="25"/>
      <c r="L1612" s="23"/>
      <c r="M1612" s="32"/>
    </row>
    <row r="1613" spans="2:13" s="1" customFormat="1" x14ac:dyDescent="0.25">
      <c r="B1613" s="77"/>
      <c r="D1613" s="1" t="str">
        <f t="shared" si="43"/>
        <v/>
      </c>
      <c r="E1613" s="20"/>
      <c r="K1613" s="25"/>
      <c r="L1613" s="23"/>
      <c r="M1613" s="32"/>
    </row>
    <row r="1614" spans="2:13" s="1" customFormat="1" x14ac:dyDescent="0.25">
      <c r="B1614" s="77"/>
      <c r="D1614" s="1" t="str">
        <f t="shared" si="43"/>
        <v/>
      </c>
      <c r="E1614" s="20"/>
      <c r="K1614" s="25"/>
      <c r="L1614" s="23"/>
      <c r="M1614" s="32"/>
    </row>
    <row r="1615" spans="2:13" s="1" customFormat="1" x14ac:dyDescent="0.25">
      <c r="B1615" s="77"/>
      <c r="D1615" s="1" t="str">
        <f t="shared" si="43"/>
        <v/>
      </c>
      <c r="E1615" s="20"/>
      <c r="K1615" s="25"/>
      <c r="L1615" s="23"/>
      <c r="M1615" s="32"/>
    </row>
    <row r="1616" spans="2:13" s="1" customFormat="1" x14ac:dyDescent="0.25">
      <c r="B1616" s="77"/>
      <c r="D1616" s="1" t="str">
        <f t="shared" si="43"/>
        <v/>
      </c>
      <c r="E1616" s="20"/>
      <c r="K1616" s="25"/>
      <c r="L1616" s="23"/>
      <c r="M1616" s="32"/>
    </row>
    <row r="1617" spans="2:13" s="1" customFormat="1" x14ac:dyDescent="0.25">
      <c r="B1617" s="77"/>
      <c r="D1617" s="1" t="str">
        <f t="shared" si="43"/>
        <v/>
      </c>
      <c r="E1617" s="20"/>
      <c r="K1617" s="25"/>
      <c r="L1617" s="23"/>
      <c r="M1617" s="32"/>
    </row>
    <row r="1618" spans="2:13" s="1" customFormat="1" x14ac:dyDescent="0.25">
      <c r="B1618" s="77"/>
      <c r="D1618" s="1" t="str">
        <f t="shared" si="43"/>
        <v/>
      </c>
      <c r="E1618" s="20"/>
      <c r="K1618" s="25"/>
      <c r="L1618" s="23"/>
      <c r="M1618" s="32"/>
    </row>
    <row r="1619" spans="2:13" s="1" customFormat="1" x14ac:dyDescent="0.25">
      <c r="B1619" s="77"/>
      <c r="D1619" s="1" t="str">
        <f t="shared" si="43"/>
        <v/>
      </c>
      <c r="E1619" s="20"/>
      <c r="K1619" s="25"/>
      <c r="L1619" s="23"/>
      <c r="M1619" s="32"/>
    </row>
    <row r="1620" spans="2:13" s="1" customFormat="1" x14ac:dyDescent="0.25">
      <c r="B1620" s="77"/>
      <c r="D1620" s="1" t="str">
        <f t="shared" si="43"/>
        <v/>
      </c>
      <c r="E1620" s="20"/>
      <c r="K1620" s="25"/>
      <c r="L1620" s="23"/>
      <c r="M1620" s="32"/>
    </row>
    <row r="1621" spans="2:13" s="1" customFormat="1" x14ac:dyDescent="0.25">
      <c r="B1621" s="77"/>
      <c r="D1621" s="1" t="str">
        <f t="shared" si="43"/>
        <v/>
      </c>
      <c r="E1621" s="20"/>
      <c r="K1621" s="25"/>
      <c r="L1621" s="23"/>
      <c r="M1621" s="32"/>
    </row>
    <row r="1622" spans="2:13" s="1" customFormat="1" x14ac:dyDescent="0.25">
      <c r="B1622" s="77"/>
      <c r="D1622" s="1" t="str">
        <f t="shared" si="43"/>
        <v/>
      </c>
      <c r="E1622" s="20"/>
      <c r="K1622" s="25"/>
      <c r="L1622" s="23"/>
      <c r="M1622" s="32"/>
    </row>
    <row r="1623" spans="2:13" s="1" customFormat="1" x14ac:dyDescent="0.25">
      <c r="B1623" s="77"/>
      <c r="D1623" s="1" t="str">
        <f t="shared" si="43"/>
        <v/>
      </c>
      <c r="E1623" s="20"/>
      <c r="K1623" s="25"/>
      <c r="L1623" s="23"/>
      <c r="M1623" s="32"/>
    </row>
    <row r="1624" spans="2:13" s="1" customFormat="1" x14ac:dyDescent="0.25">
      <c r="B1624" s="77"/>
      <c r="D1624" s="1" t="str">
        <f t="shared" si="43"/>
        <v/>
      </c>
      <c r="E1624" s="20"/>
      <c r="K1624" s="25"/>
      <c r="L1624" s="23"/>
      <c r="M1624" s="32"/>
    </row>
    <row r="1625" spans="2:13" s="1" customFormat="1" x14ac:dyDescent="0.25">
      <c r="B1625" s="77"/>
      <c r="D1625" s="1" t="str">
        <f t="shared" si="43"/>
        <v/>
      </c>
      <c r="E1625" s="20"/>
      <c r="K1625" s="25"/>
      <c r="L1625" s="23"/>
      <c r="M1625" s="32"/>
    </row>
    <row r="1626" spans="2:13" s="1" customFormat="1" x14ac:dyDescent="0.25">
      <c r="B1626" s="77"/>
      <c r="D1626" s="1" t="str">
        <f t="shared" si="43"/>
        <v/>
      </c>
      <c r="E1626" s="20"/>
      <c r="K1626" s="25"/>
      <c r="L1626" s="23"/>
      <c r="M1626" s="32"/>
    </row>
  </sheetData>
  <autoFilter ref="A10:M1626" xr:uid="{00000000-0009-0000-0000-000002000000}"/>
  <conditionalFormatting sqref="C18:C286 A11:M42">
    <cfRule type="cellIs" dxfId="7" priority="1" operator="equal">
      <formula>""</formula>
    </cfRule>
  </conditionalFormatting>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filterMode="1"/>
  <dimension ref="A1:G248"/>
  <sheetViews>
    <sheetView workbookViewId="0">
      <selection activeCell="G31" sqref="G31"/>
    </sheetView>
  </sheetViews>
  <sheetFormatPr baseColWidth="10" defaultRowHeight="15" x14ac:dyDescent="0.25"/>
  <cols>
    <col min="2" max="2" width="17" bestFit="1" customWidth="1"/>
    <col min="3" max="4" width="17.42578125" customWidth="1"/>
    <col min="5" max="5" width="38.42578125" bestFit="1" customWidth="1"/>
    <col min="7" max="7" width="31.42578125" customWidth="1"/>
  </cols>
  <sheetData>
    <row r="1" spans="2:6" x14ac:dyDescent="0.25">
      <c r="B1" t="s">
        <v>165</v>
      </c>
      <c r="C1" s="12" t="s">
        <v>7</v>
      </c>
      <c r="D1" s="13" t="s">
        <v>139</v>
      </c>
      <c r="E1" s="13" t="s">
        <v>138</v>
      </c>
      <c r="F1" s="13" t="s">
        <v>140</v>
      </c>
    </row>
    <row r="2" spans="2:6" ht="14.25" hidden="1" customHeight="1" x14ac:dyDescent="0.25">
      <c r="C2" s="6"/>
      <c r="E2" t="s">
        <v>36</v>
      </c>
    </row>
    <row r="3" spans="2:6" x14ac:dyDescent="0.25">
      <c r="C3" s="6" t="s">
        <v>21</v>
      </c>
      <c r="D3" t="str">
        <f>IF(E3&lt;&gt;"",LEFT(E3,15),"")</f>
        <v>06 47 74 21 11</v>
      </c>
      <c r="E3" t="s">
        <v>38</v>
      </c>
      <c r="F3" t="s">
        <v>10</v>
      </c>
    </row>
    <row r="4" spans="2:6" ht="14.25" hidden="1" customHeight="1" x14ac:dyDescent="0.25">
      <c r="C4" s="6"/>
      <c r="E4" t="s">
        <v>39</v>
      </c>
    </row>
    <row r="5" spans="2:6" ht="14.25" hidden="1" customHeight="1" x14ac:dyDescent="0.25">
      <c r="C5" s="6"/>
      <c r="D5" t="str">
        <f>IF(E5&lt;&gt;"",LEFT(E5,15),"")</f>
        <v>06 87 59 37 18</v>
      </c>
      <c r="E5" t="s">
        <v>40</v>
      </c>
    </row>
    <row r="6" spans="2:6" ht="14.25" hidden="1" customHeight="1" x14ac:dyDescent="0.25">
      <c r="C6" s="6"/>
      <c r="E6" t="s">
        <v>41</v>
      </c>
      <c r="F6" t="s">
        <v>10</v>
      </c>
    </row>
    <row r="7" spans="2:6" ht="14.25" hidden="1" customHeight="1" x14ac:dyDescent="0.25">
      <c r="C7" s="6"/>
      <c r="D7" t="str">
        <f>IF(E7&lt;&gt;"",LEFT(E7,15),"")</f>
        <v>07 88 39 26 32</v>
      </c>
      <c r="E7" t="s">
        <v>42</v>
      </c>
      <c r="F7" t="s">
        <v>46</v>
      </c>
    </row>
    <row r="8" spans="2:6" ht="14.25" hidden="1" customHeight="1" x14ac:dyDescent="0.25">
      <c r="C8" s="6"/>
      <c r="E8" t="s">
        <v>43</v>
      </c>
    </row>
    <row r="9" spans="2:6" ht="14.25" hidden="1" customHeight="1" x14ac:dyDescent="0.25">
      <c r="C9" s="6"/>
      <c r="D9" t="str">
        <f>IF(E9&lt;&gt;"",LEFT(E9,15),"")</f>
        <v>06 82 09 07 51</v>
      </c>
      <c r="E9" t="s">
        <v>44</v>
      </c>
      <c r="F9" t="s">
        <v>46</v>
      </c>
    </row>
    <row r="10" spans="2:6" ht="14.25" hidden="1" customHeight="1" x14ac:dyDescent="0.25">
      <c r="B10" t="s">
        <v>46</v>
      </c>
      <c r="C10" s="6"/>
      <c r="E10" t="s">
        <v>45</v>
      </c>
    </row>
    <row r="11" spans="2:6" ht="14.25" hidden="1" customHeight="1" x14ac:dyDescent="0.25">
      <c r="B11" t="s">
        <v>10</v>
      </c>
      <c r="C11" s="6"/>
      <c r="D11" t="str">
        <f>IF(E11&lt;&gt;"",LEFT(E11,15),"")</f>
        <v/>
      </c>
    </row>
    <row r="12" spans="2:6" ht="14.25" customHeight="1" x14ac:dyDescent="0.25">
      <c r="C12" s="6" t="s">
        <v>141</v>
      </c>
      <c r="D12" t="str">
        <f>IF(E12&lt;&gt;"",LEFT(E12,15),"")</f>
        <v>06 15 76 23 95</v>
      </c>
      <c r="E12" t="s">
        <v>47</v>
      </c>
      <c r="F12" s="9" t="s">
        <v>67</v>
      </c>
    </row>
    <row r="13" spans="2:6" ht="14.25" hidden="1" customHeight="1" x14ac:dyDescent="0.25">
      <c r="C13" s="6"/>
      <c r="E13" t="s">
        <v>48</v>
      </c>
    </row>
    <row r="14" spans="2:6" x14ac:dyDescent="0.25">
      <c r="C14" s="6" t="s">
        <v>21</v>
      </c>
      <c r="D14" t="str">
        <f>IF(E14&lt;&gt;"",LEFT(E14,15),"")</f>
        <v>06 99 77 50 88</v>
      </c>
      <c r="E14" t="s">
        <v>49</v>
      </c>
      <c r="F14" t="s">
        <v>10</v>
      </c>
    </row>
    <row r="15" spans="2:6" ht="14.25" hidden="1" customHeight="1" x14ac:dyDescent="0.25">
      <c r="C15" s="6"/>
      <c r="E15" t="s">
        <v>50</v>
      </c>
    </row>
    <row r="16" spans="2:6" ht="14.25" hidden="1" customHeight="1" x14ac:dyDescent="0.25">
      <c r="C16" s="6"/>
      <c r="D16" t="str">
        <f>IF(E16&lt;&gt;"",LEFT(E16,15),"")</f>
        <v>ok</v>
      </c>
      <c r="E16" t="s">
        <v>21</v>
      </c>
    </row>
    <row r="17" spans="1:7" ht="45" x14ac:dyDescent="0.25">
      <c r="A17" t="s">
        <v>164</v>
      </c>
      <c r="B17" t="s">
        <v>162</v>
      </c>
      <c r="C17" s="6" t="s">
        <v>21</v>
      </c>
      <c r="D17" t="s">
        <v>153</v>
      </c>
      <c r="E17" s="6" t="s">
        <v>142</v>
      </c>
      <c r="F17" t="s">
        <v>10</v>
      </c>
      <c r="G17" t="s">
        <v>144</v>
      </c>
    </row>
    <row r="18" spans="1:7" ht="14.25" hidden="1" customHeight="1" x14ac:dyDescent="0.25">
      <c r="C18" s="6"/>
      <c r="D18" t="str">
        <f>IF(E18&lt;&gt;"",LEFT(E18,15),"")</f>
        <v>ok</v>
      </c>
      <c r="E18" t="s">
        <v>21</v>
      </c>
    </row>
    <row r="19" spans="1:7" ht="42.75" hidden="1" customHeight="1" x14ac:dyDescent="0.25">
      <c r="C19" s="6"/>
      <c r="D19" t="str">
        <f>IF(E19&lt;&gt;"",LEFT(E19,15),"")</f>
        <v xml:space="preserve">06 11 01 72 21
</v>
      </c>
      <c r="E19" s="6" t="s">
        <v>51</v>
      </c>
    </row>
    <row r="20" spans="1:7" ht="14.25" hidden="1" customHeight="1" x14ac:dyDescent="0.25">
      <c r="C20" s="6"/>
      <c r="D20" t="str">
        <f>IF(E20&lt;&gt;"",LEFT(E20,15),"")</f>
        <v>06 17 31 29 97</v>
      </c>
      <c r="E20" t="s">
        <v>52</v>
      </c>
      <c r="F20" t="s">
        <v>10</v>
      </c>
    </row>
    <row r="21" spans="1:7" ht="14.25" hidden="1" customHeight="1" x14ac:dyDescent="0.25">
      <c r="C21" s="6"/>
      <c r="E21" t="s">
        <v>53</v>
      </c>
    </row>
    <row r="22" spans="1:7" ht="14.25" hidden="1" customHeight="1" x14ac:dyDescent="0.25">
      <c r="C22" s="6"/>
      <c r="D22" t="str">
        <f t="shared" ref="D22:D85" si="0">IF(E22&lt;&gt;"",LEFT(E22,15),"")</f>
        <v/>
      </c>
    </row>
    <row r="23" spans="1:7" ht="99.75" hidden="1" customHeight="1" x14ac:dyDescent="0.25">
      <c r="C23" s="6"/>
      <c r="D23" t="str">
        <f t="shared" si="0"/>
        <v xml:space="preserve">06 88 12 30 31
</v>
      </c>
      <c r="E23" s="6" t="s">
        <v>54</v>
      </c>
      <c r="F23" t="s">
        <v>10</v>
      </c>
    </row>
    <row r="24" spans="1:7" ht="99.75" hidden="1" customHeight="1" x14ac:dyDescent="0.25">
      <c r="C24" s="6"/>
      <c r="D24" t="str">
        <f t="shared" si="0"/>
        <v xml:space="preserve">
06 83 29 04 45</v>
      </c>
      <c r="E24" s="6" t="s">
        <v>55</v>
      </c>
      <c r="F24" t="s">
        <v>10</v>
      </c>
    </row>
    <row r="25" spans="1:7" ht="85.5" hidden="1" customHeight="1" x14ac:dyDescent="0.25">
      <c r="C25" s="6"/>
      <c r="D25" t="str">
        <f t="shared" si="0"/>
        <v xml:space="preserve">06 30 03 73 16
</v>
      </c>
      <c r="E25" s="6" t="s">
        <v>56</v>
      </c>
    </row>
    <row r="26" spans="1:7" ht="85.5" hidden="1" customHeight="1" x14ac:dyDescent="0.25">
      <c r="C26" s="6"/>
      <c r="D26" t="str">
        <f t="shared" si="0"/>
        <v xml:space="preserve">06 88 73 02 81
</v>
      </c>
      <c r="E26" s="6" t="s">
        <v>57</v>
      </c>
      <c r="F26" t="s">
        <v>46</v>
      </c>
    </row>
    <row r="27" spans="1:7" ht="99.75" hidden="1" customHeight="1" x14ac:dyDescent="0.25">
      <c r="C27" s="6"/>
      <c r="D27" t="str">
        <f t="shared" si="0"/>
        <v xml:space="preserve">06 16 03 20 23
</v>
      </c>
      <c r="E27" s="6" t="s">
        <v>58</v>
      </c>
    </row>
    <row r="28" spans="1:7" ht="85.5" customHeight="1" x14ac:dyDescent="0.25">
      <c r="C28" s="6" t="s">
        <v>66</v>
      </c>
      <c r="D28" t="str">
        <f t="shared" si="0"/>
        <v xml:space="preserve">07 88 98 65 37
</v>
      </c>
      <c r="E28" s="6" t="s">
        <v>59</v>
      </c>
    </row>
    <row r="29" spans="1:7" ht="85.5" hidden="1" customHeight="1" x14ac:dyDescent="0.25">
      <c r="C29" s="6"/>
      <c r="D29" t="str">
        <f t="shared" si="0"/>
        <v xml:space="preserve">06 20 01 62 43
</v>
      </c>
      <c r="E29" s="6" t="s">
        <v>60</v>
      </c>
      <c r="F29" t="s">
        <v>10</v>
      </c>
    </row>
    <row r="30" spans="1:7" ht="85.5" hidden="1" customHeight="1" x14ac:dyDescent="0.25">
      <c r="C30" s="6"/>
      <c r="D30" t="str">
        <f t="shared" si="0"/>
        <v xml:space="preserve">07 64 47 53 16
</v>
      </c>
      <c r="E30" s="6" t="s">
        <v>61</v>
      </c>
      <c r="F30" t="s">
        <v>10</v>
      </c>
    </row>
    <row r="31" spans="1:7" ht="85.5" customHeight="1" x14ac:dyDescent="0.25">
      <c r="C31" s="6" t="s">
        <v>63</v>
      </c>
      <c r="D31" t="str">
        <f t="shared" si="0"/>
        <v xml:space="preserve">06 99 90 59 62
</v>
      </c>
      <c r="E31" s="6" t="s">
        <v>62</v>
      </c>
    </row>
    <row r="32" spans="1:7" ht="99.75" hidden="1" customHeight="1" x14ac:dyDescent="0.25">
      <c r="C32" s="6"/>
      <c r="D32" t="str">
        <f t="shared" si="0"/>
        <v xml:space="preserve">06 65 45 26 69
</v>
      </c>
      <c r="E32" s="6" t="s">
        <v>64</v>
      </c>
      <c r="F32" t="s">
        <v>46</v>
      </c>
    </row>
    <row r="33" spans="1:7" ht="85.5" hidden="1" customHeight="1" x14ac:dyDescent="0.25">
      <c r="C33" s="6"/>
      <c r="D33" t="str">
        <f t="shared" si="0"/>
        <v xml:space="preserve">06 16 87 31 97
</v>
      </c>
      <c r="E33" s="6" t="s">
        <v>65</v>
      </c>
      <c r="F33" t="s">
        <v>10</v>
      </c>
    </row>
    <row r="34" spans="1:7" ht="99.75" hidden="1" customHeight="1" x14ac:dyDescent="0.25">
      <c r="C34" s="6"/>
      <c r="D34" t="str">
        <f t="shared" si="0"/>
        <v xml:space="preserve">06 26 43 07 04
</v>
      </c>
      <c r="E34" s="6" t="s">
        <v>68</v>
      </c>
      <c r="F34" t="s">
        <v>10</v>
      </c>
    </row>
    <row r="35" spans="1:7" ht="99.75" hidden="1" customHeight="1" x14ac:dyDescent="0.25">
      <c r="C35" s="6"/>
      <c r="D35" t="str">
        <f t="shared" si="0"/>
        <v xml:space="preserve">06 84 57 02 27
</v>
      </c>
      <c r="E35" s="6" t="s">
        <v>69</v>
      </c>
      <c r="F35" t="s">
        <v>10</v>
      </c>
    </row>
    <row r="36" spans="1:7" ht="99.75" hidden="1" customHeight="1" x14ac:dyDescent="0.25">
      <c r="C36" s="6"/>
      <c r="D36" t="str">
        <f t="shared" si="0"/>
        <v xml:space="preserve">06 61 78 36 52
</v>
      </c>
      <c r="E36" s="6" t="s">
        <v>70</v>
      </c>
      <c r="F36" t="s">
        <v>10</v>
      </c>
    </row>
    <row r="37" spans="1:7" ht="85.5" customHeight="1" x14ac:dyDescent="0.25">
      <c r="C37" s="6" t="s">
        <v>73</v>
      </c>
      <c r="D37" t="str">
        <f t="shared" si="0"/>
        <v xml:space="preserve">06 22 11 88 75
</v>
      </c>
      <c r="E37" s="6" t="s">
        <v>71</v>
      </c>
    </row>
    <row r="38" spans="1:7" ht="85.5" hidden="1" customHeight="1" x14ac:dyDescent="0.25">
      <c r="C38" s="6"/>
      <c r="D38" t="str">
        <f t="shared" si="0"/>
        <v xml:space="preserve">06 43 51 75 75
</v>
      </c>
      <c r="E38" s="6" t="s">
        <v>72</v>
      </c>
      <c r="F38" t="s">
        <v>10</v>
      </c>
    </row>
    <row r="39" spans="1:7" ht="30" x14ac:dyDescent="0.25">
      <c r="B39" t="s">
        <v>163</v>
      </c>
      <c r="C39" s="6" t="s">
        <v>74</v>
      </c>
      <c r="D39" t="s">
        <v>154</v>
      </c>
      <c r="E39" s="6" t="s">
        <v>143</v>
      </c>
      <c r="G39" t="s">
        <v>145</v>
      </c>
    </row>
    <row r="40" spans="1:7" ht="42.75" hidden="1" customHeight="1" x14ac:dyDescent="0.25">
      <c r="C40" s="6"/>
      <c r="D40" t="str">
        <f t="shared" si="0"/>
        <v xml:space="preserve">06 64 23 14 31
</v>
      </c>
      <c r="E40" s="6" t="s">
        <v>75</v>
      </c>
      <c r="F40" t="s">
        <v>10</v>
      </c>
    </row>
    <row r="41" spans="1:7" ht="99.75" customHeight="1" x14ac:dyDescent="0.25">
      <c r="B41" t="s">
        <v>80</v>
      </c>
      <c r="C41" s="6" t="s">
        <v>77</v>
      </c>
      <c r="D41" t="str">
        <f t="shared" si="0"/>
        <v xml:space="preserve">06 16 47 62 74
</v>
      </c>
      <c r="E41" s="6" t="s">
        <v>76</v>
      </c>
    </row>
    <row r="42" spans="1:7" ht="42.75" customHeight="1" x14ac:dyDescent="0.25">
      <c r="C42" s="6" t="s">
        <v>78</v>
      </c>
      <c r="D42" t="str">
        <f t="shared" si="0"/>
        <v/>
      </c>
    </row>
    <row r="43" spans="1:7" ht="28.5" customHeight="1" x14ac:dyDescent="0.25">
      <c r="C43" s="6" t="s">
        <v>79</v>
      </c>
      <c r="D43" t="str">
        <f t="shared" si="0"/>
        <v/>
      </c>
    </row>
    <row r="44" spans="1:7" ht="14.25" hidden="1" customHeight="1" x14ac:dyDescent="0.25">
      <c r="C44" s="6"/>
      <c r="D44" t="str">
        <f t="shared" si="0"/>
        <v/>
      </c>
    </row>
    <row r="45" spans="1:7" ht="85.5" hidden="1" customHeight="1" x14ac:dyDescent="0.25">
      <c r="A45" t="s">
        <v>179</v>
      </c>
      <c r="B45" t="s">
        <v>178</v>
      </c>
      <c r="C45" s="6"/>
      <c r="D45" t="str">
        <f t="shared" si="0"/>
        <v xml:space="preserve">06 18 18 74 87
</v>
      </c>
      <c r="E45" s="6" t="s">
        <v>81</v>
      </c>
      <c r="F45" t="s">
        <v>10</v>
      </c>
    </row>
    <row r="46" spans="1:7" ht="14.25" hidden="1" customHeight="1" x14ac:dyDescent="0.25">
      <c r="C46" s="6"/>
      <c r="D46" t="str">
        <f t="shared" si="0"/>
        <v/>
      </c>
    </row>
    <row r="47" spans="1:7" ht="14.25" hidden="1" customHeight="1" x14ac:dyDescent="0.25">
      <c r="C47" s="6"/>
      <c r="D47" t="str">
        <f t="shared" si="0"/>
        <v/>
      </c>
    </row>
    <row r="48" spans="1:7" ht="85.5" hidden="1" customHeight="1" x14ac:dyDescent="0.25">
      <c r="C48" s="6"/>
      <c r="D48" t="str">
        <f t="shared" si="0"/>
        <v xml:space="preserve">07 77 95 76 06
</v>
      </c>
      <c r="E48" s="6" t="s">
        <v>82</v>
      </c>
      <c r="F48" t="s">
        <v>10</v>
      </c>
    </row>
    <row r="49" spans="1:7" ht="14.25" hidden="1" customHeight="1" x14ac:dyDescent="0.25">
      <c r="C49" s="6"/>
      <c r="D49" t="str">
        <f t="shared" si="0"/>
        <v/>
      </c>
    </row>
    <row r="50" spans="1:7" ht="14.25" hidden="1" customHeight="1" x14ac:dyDescent="0.25">
      <c r="C50" s="6"/>
      <c r="D50" t="str">
        <f t="shared" si="0"/>
        <v/>
      </c>
    </row>
    <row r="51" spans="1:7" ht="85.5" hidden="1" customHeight="1" x14ac:dyDescent="0.25">
      <c r="C51" s="6"/>
      <c r="D51" t="str">
        <f t="shared" si="0"/>
        <v xml:space="preserve">06 32 40 67 80
</v>
      </c>
      <c r="E51" s="6" t="s">
        <v>83</v>
      </c>
      <c r="F51" t="s">
        <v>10</v>
      </c>
    </row>
    <row r="52" spans="1:7" ht="14.25" hidden="1" customHeight="1" x14ac:dyDescent="0.25">
      <c r="C52" s="6"/>
      <c r="D52" t="str">
        <f t="shared" si="0"/>
        <v/>
      </c>
    </row>
    <row r="53" spans="1:7" ht="14.25" hidden="1" customHeight="1" x14ac:dyDescent="0.25">
      <c r="C53" s="6"/>
      <c r="D53" t="str">
        <f t="shared" si="0"/>
        <v/>
      </c>
    </row>
    <row r="54" spans="1:7" ht="45" x14ac:dyDescent="0.25">
      <c r="A54" t="s">
        <v>166</v>
      </c>
      <c r="B54" t="s">
        <v>163</v>
      </c>
      <c r="C54" s="6" t="s">
        <v>85</v>
      </c>
      <c r="D54" t="s">
        <v>155</v>
      </c>
      <c r="E54" s="6" t="s">
        <v>84</v>
      </c>
      <c r="F54" t="s">
        <v>10</v>
      </c>
      <c r="G54" s="6" t="s">
        <v>146</v>
      </c>
    </row>
    <row r="55" spans="1:7" ht="14.25" hidden="1" customHeight="1" x14ac:dyDescent="0.25">
      <c r="C55" s="6"/>
      <c r="D55" t="str">
        <f t="shared" si="0"/>
        <v/>
      </c>
    </row>
    <row r="56" spans="1:7" ht="14.25" hidden="1" customHeight="1" x14ac:dyDescent="0.25">
      <c r="C56" s="6"/>
      <c r="D56" t="str">
        <f t="shared" si="0"/>
        <v/>
      </c>
    </row>
    <row r="57" spans="1:7" ht="14.25" hidden="1" customHeight="1" x14ac:dyDescent="0.25">
      <c r="C57" s="6"/>
      <c r="D57" t="str">
        <f t="shared" si="0"/>
        <v/>
      </c>
    </row>
    <row r="58" spans="1:7" ht="85.5" hidden="1" customHeight="1" x14ac:dyDescent="0.25">
      <c r="C58" s="6"/>
      <c r="D58" t="str">
        <f t="shared" si="0"/>
        <v xml:space="preserve">06 58 03 04 25
</v>
      </c>
      <c r="E58" s="6" t="s">
        <v>86</v>
      </c>
      <c r="F58" t="s">
        <v>10</v>
      </c>
    </row>
    <row r="59" spans="1:7" ht="14.25" hidden="1" customHeight="1" x14ac:dyDescent="0.25">
      <c r="C59" s="6"/>
      <c r="D59" t="str">
        <f t="shared" si="0"/>
        <v/>
      </c>
    </row>
    <row r="60" spans="1:7" ht="14.25" hidden="1" customHeight="1" x14ac:dyDescent="0.25">
      <c r="C60" s="6"/>
      <c r="D60" t="str">
        <f t="shared" si="0"/>
        <v/>
      </c>
    </row>
    <row r="61" spans="1:7" ht="85.5" hidden="1" customHeight="1" x14ac:dyDescent="0.25">
      <c r="C61" s="6"/>
      <c r="D61" t="str">
        <f t="shared" si="0"/>
        <v xml:space="preserve">06 61 19 88 44
</v>
      </c>
      <c r="E61" s="10" t="s">
        <v>87</v>
      </c>
      <c r="F61" t="s">
        <v>10</v>
      </c>
    </row>
    <row r="62" spans="1:7" ht="14.25" hidden="1" customHeight="1" x14ac:dyDescent="0.25">
      <c r="C62" s="6"/>
      <c r="D62" t="str">
        <f t="shared" si="0"/>
        <v/>
      </c>
    </row>
    <row r="63" spans="1:7" ht="14.25" hidden="1" customHeight="1" x14ac:dyDescent="0.25">
      <c r="C63" s="6"/>
      <c r="D63" t="str">
        <f t="shared" si="0"/>
        <v/>
      </c>
    </row>
    <row r="64" spans="1:7" ht="85.5" hidden="1" customHeight="1" x14ac:dyDescent="0.25">
      <c r="C64" s="6"/>
      <c r="D64" t="str">
        <f t="shared" si="0"/>
        <v xml:space="preserve">06 13 61 33 20
</v>
      </c>
      <c r="E64" s="6" t="s">
        <v>88</v>
      </c>
      <c r="F64" s="7" t="s">
        <v>10</v>
      </c>
    </row>
    <row r="65" spans="3:6" ht="14.25" hidden="1" customHeight="1" x14ac:dyDescent="0.25">
      <c r="C65" s="6"/>
      <c r="D65" t="str">
        <f t="shared" si="0"/>
        <v/>
      </c>
    </row>
    <row r="66" spans="3:6" ht="14.25" hidden="1" customHeight="1" x14ac:dyDescent="0.25">
      <c r="C66" s="6"/>
      <c r="D66" t="str">
        <f t="shared" si="0"/>
        <v/>
      </c>
    </row>
    <row r="67" spans="3:6" ht="85.5" hidden="1" customHeight="1" x14ac:dyDescent="0.25">
      <c r="C67" s="6"/>
      <c r="D67" t="str">
        <f t="shared" si="0"/>
        <v xml:space="preserve">06 07 74 08 46
</v>
      </c>
      <c r="E67" s="6" t="s">
        <v>89</v>
      </c>
      <c r="F67" s="7" t="s">
        <v>10</v>
      </c>
    </row>
    <row r="68" spans="3:6" ht="14.25" hidden="1" customHeight="1" x14ac:dyDescent="0.25">
      <c r="C68" s="6"/>
      <c r="D68" t="str">
        <f t="shared" si="0"/>
        <v/>
      </c>
    </row>
    <row r="69" spans="3:6" ht="14.25" hidden="1" customHeight="1" x14ac:dyDescent="0.25">
      <c r="C69" s="6"/>
      <c r="D69" t="str">
        <f t="shared" si="0"/>
        <v/>
      </c>
    </row>
    <row r="70" spans="3:6" ht="85.5" hidden="1" customHeight="1" x14ac:dyDescent="0.25">
      <c r="C70" s="6"/>
      <c r="D70" t="str">
        <f t="shared" si="0"/>
        <v xml:space="preserve">06 85 13 63 62
</v>
      </c>
      <c r="E70" s="6" t="s">
        <v>90</v>
      </c>
      <c r="F70" s="7" t="s">
        <v>10</v>
      </c>
    </row>
    <row r="71" spans="3:6" ht="14.25" hidden="1" customHeight="1" x14ac:dyDescent="0.25">
      <c r="C71" s="6"/>
      <c r="D71" t="str">
        <f t="shared" si="0"/>
        <v/>
      </c>
    </row>
    <row r="72" spans="3:6" ht="14.25" hidden="1" customHeight="1" x14ac:dyDescent="0.25">
      <c r="C72" s="6"/>
      <c r="D72" t="str">
        <f t="shared" si="0"/>
        <v/>
      </c>
    </row>
    <row r="73" spans="3:6" ht="14.25" hidden="1" customHeight="1" x14ac:dyDescent="0.25">
      <c r="C73" s="6"/>
      <c r="D73" t="str">
        <f t="shared" si="0"/>
        <v/>
      </c>
    </row>
    <row r="74" spans="3:6" ht="85.5" hidden="1" customHeight="1" x14ac:dyDescent="0.25">
      <c r="C74" s="6"/>
      <c r="D74" t="str">
        <f t="shared" si="0"/>
        <v xml:space="preserve">06 48 36 84 23
</v>
      </c>
      <c r="E74" s="6" t="s">
        <v>91</v>
      </c>
    </row>
    <row r="75" spans="3:6" ht="14.25" hidden="1" customHeight="1" x14ac:dyDescent="0.25">
      <c r="C75" s="6"/>
      <c r="D75" t="str">
        <f t="shared" si="0"/>
        <v/>
      </c>
    </row>
    <row r="76" spans="3:6" ht="14.25" hidden="1" customHeight="1" x14ac:dyDescent="0.25">
      <c r="C76" s="6"/>
      <c r="D76" t="str">
        <f t="shared" si="0"/>
        <v/>
      </c>
    </row>
    <row r="77" spans="3:6" ht="14.25" hidden="1" customHeight="1" x14ac:dyDescent="0.25">
      <c r="C77" s="6"/>
      <c r="D77" t="str">
        <f t="shared" si="0"/>
        <v/>
      </c>
    </row>
    <row r="78" spans="3:6" ht="14.25" hidden="1" customHeight="1" x14ac:dyDescent="0.25">
      <c r="C78" s="6"/>
      <c r="D78" t="str">
        <f t="shared" si="0"/>
        <v>556350486</v>
      </c>
      <c r="E78">
        <v>556350486</v>
      </c>
    </row>
    <row r="79" spans="3:6" ht="14.25" hidden="1" customHeight="1" x14ac:dyDescent="0.25">
      <c r="C79" s="6"/>
      <c r="D79" t="str">
        <f t="shared" si="0"/>
        <v/>
      </c>
    </row>
    <row r="80" spans="3:6" ht="14.25" hidden="1" customHeight="1" x14ac:dyDescent="0.25">
      <c r="C80" s="6"/>
      <c r="D80" t="str">
        <f t="shared" si="0"/>
        <v/>
      </c>
    </row>
    <row r="81" spans="3:6" ht="99.75" hidden="1" customHeight="1" x14ac:dyDescent="0.25">
      <c r="C81" s="6"/>
      <c r="D81" t="str">
        <f t="shared" si="0"/>
        <v xml:space="preserve">06 28 76 61 21 </v>
      </c>
      <c r="E81" s="6" t="s">
        <v>92</v>
      </c>
      <c r="F81" t="s">
        <v>10</v>
      </c>
    </row>
    <row r="82" spans="3:6" ht="14.25" hidden="1" customHeight="1" x14ac:dyDescent="0.25">
      <c r="C82" s="6"/>
      <c r="D82" t="str">
        <f t="shared" si="0"/>
        <v/>
      </c>
    </row>
    <row r="83" spans="3:6" ht="14.25" hidden="1" customHeight="1" x14ac:dyDescent="0.25">
      <c r="C83" s="6"/>
      <c r="D83" t="str">
        <f t="shared" si="0"/>
        <v/>
      </c>
    </row>
    <row r="84" spans="3:6" ht="99.75" hidden="1" customHeight="1" x14ac:dyDescent="0.25">
      <c r="C84" s="6"/>
      <c r="D84" t="str">
        <f t="shared" si="0"/>
        <v xml:space="preserve">06 95 60 71 44
</v>
      </c>
      <c r="E84" s="6" t="s">
        <v>93</v>
      </c>
      <c r="F84" t="s">
        <v>10</v>
      </c>
    </row>
    <row r="85" spans="3:6" ht="14.25" hidden="1" customHeight="1" x14ac:dyDescent="0.25">
      <c r="C85" s="6"/>
      <c r="D85" t="str">
        <f t="shared" si="0"/>
        <v/>
      </c>
    </row>
    <row r="86" spans="3:6" ht="14.25" hidden="1" customHeight="1" x14ac:dyDescent="0.25">
      <c r="C86" s="6"/>
      <c r="D86" t="str">
        <f t="shared" ref="D86:D149" si="1">IF(E86&lt;&gt;"",LEFT(E86,15),"")</f>
        <v/>
      </c>
    </row>
    <row r="87" spans="3:6" ht="85.5" hidden="1" customHeight="1" x14ac:dyDescent="0.25">
      <c r="C87" s="6"/>
      <c r="D87" t="str">
        <f t="shared" si="1"/>
        <v xml:space="preserve">06 85 15 05 46
</v>
      </c>
      <c r="E87" s="6" t="s">
        <v>94</v>
      </c>
      <c r="F87" t="s">
        <v>10</v>
      </c>
    </row>
    <row r="88" spans="3:6" ht="14.25" hidden="1" customHeight="1" x14ac:dyDescent="0.25">
      <c r="C88" s="6"/>
      <c r="D88" t="str">
        <f t="shared" si="1"/>
        <v/>
      </c>
    </row>
    <row r="89" spans="3:6" ht="14.25" hidden="1" customHeight="1" x14ac:dyDescent="0.25">
      <c r="C89" s="6"/>
      <c r="D89" t="str">
        <f t="shared" si="1"/>
        <v/>
      </c>
    </row>
    <row r="90" spans="3:6" ht="14.25" hidden="1" customHeight="1" x14ac:dyDescent="0.25">
      <c r="C90" s="6"/>
      <c r="D90" t="str">
        <f t="shared" si="1"/>
        <v/>
      </c>
    </row>
    <row r="91" spans="3:6" ht="85.5" hidden="1" customHeight="1" x14ac:dyDescent="0.25">
      <c r="C91" s="6"/>
      <c r="D91" t="str">
        <f t="shared" si="1"/>
        <v xml:space="preserve">07 87 24 17 54
</v>
      </c>
      <c r="E91" s="6" t="s">
        <v>95</v>
      </c>
      <c r="F91" t="s">
        <v>10</v>
      </c>
    </row>
    <row r="92" spans="3:6" ht="14.25" hidden="1" customHeight="1" x14ac:dyDescent="0.25">
      <c r="C92" s="6"/>
      <c r="D92" t="str">
        <f t="shared" si="1"/>
        <v/>
      </c>
    </row>
    <row r="93" spans="3:6" ht="14.25" hidden="1" customHeight="1" x14ac:dyDescent="0.25">
      <c r="C93" s="6"/>
      <c r="D93" t="str">
        <f t="shared" si="1"/>
        <v/>
      </c>
    </row>
    <row r="94" spans="3:6" ht="85.5" hidden="1" customHeight="1" x14ac:dyDescent="0.25">
      <c r="C94" s="6"/>
      <c r="D94" t="str">
        <f t="shared" si="1"/>
        <v xml:space="preserve">06 58 42 91 50
</v>
      </c>
      <c r="E94" s="6" t="s">
        <v>96</v>
      </c>
      <c r="F94" t="s">
        <v>10</v>
      </c>
    </row>
    <row r="95" spans="3:6" ht="14.25" hidden="1" customHeight="1" x14ac:dyDescent="0.25">
      <c r="C95" s="6"/>
      <c r="D95" t="str">
        <f t="shared" si="1"/>
        <v/>
      </c>
    </row>
    <row r="96" spans="3:6" ht="14.25" hidden="1" customHeight="1" x14ac:dyDescent="0.25">
      <c r="C96" s="6"/>
      <c r="D96" t="str">
        <f t="shared" si="1"/>
        <v/>
      </c>
    </row>
    <row r="97" spans="3:6" ht="85.5" hidden="1" customHeight="1" x14ac:dyDescent="0.25">
      <c r="C97" s="6"/>
      <c r="D97" t="str">
        <f t="shared" si="1"/>
        <v xml:space="preserve">07 83 34 13 70
</v>
      </c>
      <c r="E97" s="6" t="s">
        <v>97</v>
      </c>
      <c r="F97" t="s">
        <v>10</v>
      </c>
    </row>
    <row r="98" spans="3:6" ht="14.25" hidden="1" customHeight="1" x14ac:dyDescent="0.25">
      <c r="C98" s="6"/>
      <c r="D98" t="str">
        <f t="shared" si="1"/>
        <v/>
      </c>
    </row>
    <row r="99" spans="3:6" ht="14.25" hidden="1" customHeight="1" x14ac:dyDescent="0.25">
      <c r="C99" s="6"/>
      <c r="D99" t="str">
        <f t="shared" si="1"/>
        <v/>
      </c>
    </row>
    <row r="100" spans="3:6" ht="14.25" hidden="1" customHeight="1" x14ac:dyDescent="0.25">
      <c r="C100" s="6"/>
      <c r="D100" t="str">
        <f t="shared" si="1"/>
        <v/>
      </c>
    </row>
    <row r="101" spans="3:6" ht="99.75" hidden="1" customHeight="1" x14ac:dyDescent="0.25">
      <c r="C101" s="6"/>
      <c r="D101" t="str">
        <f t="shared" si="1"/>
        <v xml:space="preserve">06 26 40 83 58
</v>
      </c>
      <c r="E101" s="6" t="s">
        <v>98</v>
      </c>
    </row>
    <row r="102" spans="3:6" ht="14.25" hidden="1" customHeight="1" x14ac:dyDescent="0.25">
      <c r="C102" s="6"/>
      <c r="D102" t="str">
        <f t="shared" si="1"/>
        <v/>
      </c>
    </row>
    <row r="103" spans="3:6" ht="14.25" hidden="1" customHeight="1" x14ac:dyDescent="0.25">
      <c r="C103" s="6"/>
      <c r="D103" t="str">
        <f t="shared" si="1"/>
        <v/>
      </c>
    </row>
    <row r="104" spans="3:6" ht="14.25" hidden="1" customHeight="1" x14ac:dyDescent="0.25">
      <c r="C104" s="6"/>
      <c r="D104" t="str">
        <f t="shared" si="1"/>
        <v/>
      </c>
    </row>
    <row r="105" spans="3:6" ht="85.5" customHeight="1" x14ac:dyDescent="0.25">
      <c r="C105" s="6" t="s">
        <v>101</v>
      </c>
      <c r="D105" t="str">
        <f t="shared" si="1"/>
        <v xml:space="preserve">06 24 22 87 39
</v>
      </c>
      <c r="E105" s="14" t="s">
        <v>99</v>
      </c>
    </row>
    <row r="106" spans="3:6" ht="14.25" hidden="1" customHeight="1" x14ac:dyDescent="0.25">
      <c r="C106" s="6"/>
      <c r="D106" t="str">
        <f t="shared" si="1"/>
        <v/>
      </c>
    </row>
    <row r="107" spans="3:6" ht="14.25" hidden="1" customHeight="1" x14ac:dyDescent="0.25">
      <c r="C107" s="6"/>
      <c r="D107" t="str">
        <f t="shared" si="1"/>
        <v/>
      </c>
    </row>
    <row r="108" spans="3:6" ht="14.25" hidden="1" customHeight="1" x14ac:dyDescent="0.25">
      <c r="C108" s="6"/>
      <c r="D108" t="str">
        <f t="shared" si="1"/>
        <v/>
      </c>
    </row>
    <row r="109" spans="3:6" ht="99.75" customHeight="1" x14ac:dyDescent="0.25">
      <c r="C109" s="6" t="s">
        <v>103</v>
      </c>
      <c r="D109" t="str">
        <f t="shared" si="1"/>
        <v xml:space="preserve">06 17 52 46 40
</v>
      </c>
      <c r="E109" s="6" t="s">
        <v>100</v>
      </c>
    </row>
    <row r="110" spans="3:6" ht="14.25" hidden="1" customHeight="1" x14ac:dyDescent="0.25">
      <c r="C110" s="6"/>
      <c r="D110" t="str">
        <f t="shared" si="1"/>
        <v/>
      </c>
    </row>
    <row r="111" spans="3:6" ht="14.25" hidden="1" customHeight="1" x14ac:dyDescent="0.25">
      <c r="C111" s="6"/>
      <c r="D111" t="str">
        <f t="shared" si="1"/>
        <v/>
      </c>
    </row>
    <row r="112" spans="3:6" ht="14.25" hidden="1" customHeight="1" x14ac:dyDescent="0.25">
      <c r="C112" s="6"/>
      <c r="D112" t="str">
        <f t="shared" si="1"/>
        <v/>
      </c>
    </row>
    <row r="113" spans="3:7" ht="45" x14ac:dyDescent="0.25">
      <c r="C113" s="6" t="s">
        <v>74</v>
      </c>
      <c r="D113" s="6" t="s">
        <v>156</v>
      </c>
      <c r="E113" s="6" t="s">
        <v>102</v>
      </c>
      <c r="G113" t="s">
        <v>147</v>
      </c>
    </row>
    <row r="114" spans="3:7" ht="14.25" hidden="1" customHeight="1" x14ac:dyDescent="0.25">
      <c r="C114" s="6"/>
      <c r="D114" t="str">
        <f t="shared" si="1"/>
        <v/>
      </c>
    </row>
    <row r="115" spans="3:7" ht="14.25" hidden="1" customHeight="1" x14ac:dyDescent="0.25">
      <c r="C115" s="6"/>
      <c r="D115" t="str">
        <f t="shared" si="1"/>
        <v/>
      </c>
    </row>
    <row r="116" spans="3:7" ht="14.25" hidden="1" customHeight="1" x14ac:dyDescent="0.25">
      <c r="C116" s="6"/>
      <c r="D116" t="str">
        <f t="shared" si="1"/>
        <v/>
      </c>
    </row>
    <row r="117" spans="3:7" ht="85.5" hidden="1" customHeight="1" x14ac:dyDescent="0.25">
      <c r="C117" s="6"/>
      <c r="D117" t="str">
        <f t="shared" si="1"/>
        <v xml:space="preserve">07 83 26 13 54
</v>
      </c>
      <c r="E117" s="6" t="s">
        <v>104</v>
      </c>
      <c r="F117" t="s">
        <v>10</v>
      </c>
    </row>
    <row r="118" spans="3:7" ht="14.25" hidden="1" customHeight="1" x14ac:dyDescent="0.25">
      <c r="C118" s="6"/>
      <c r="D118" t="str">
        <f t="shared" si="1"/>
        <v/>
      </c>
    </row>
    <row r="119" spans="3:7" ht="14.25" hidden="1" customHeight="1" x14ac:dyDescent="0.25">
      <c r="C119" s="6"/>
      <c r="D119" t="str">
        <f t="shared" si="1"/>
        <v/>
      </c>
    </row>
    <row r="120" spans="3:7" ht="14.25" hidden="1" customHeight="1" x14ac:dyDescent="0.25">
      <c r="C120" s="6"/>
      <c r="D120" t="str">
        <f t="shared" si="1"/>
        <v/>
      </c>
    </row>
    <row r="121" spans="3:7" ht="71.25" hidden="1" customHeight="1" x14ac:dyDescent="0.25">
      <c r="C121" s="6"/>
      <c r="D121" t="str">
        <f t="shared" si="1"/>
        <v xml:space="preserve">06 98 85 40 09
</v>
      </c>
      <c r="E121" s="6" t="s">
        <v>105</v>
      </c>
      <c r="F121" t="s">
        <v>10</v>
      </c>
    </row>
    <row r="122" spans="3:7" ht="14.25" hidden="1" customHeight="1" x14ac:dyDescent="0.25">
      <c r="C122" s="6"/>
      <c r="D122" t="str">
        <f t="shared" si="1"/>
        <v/>
      </c>
    </row>
    <row r="123" spans="3:7" ht="14.25" hidden="1" customHeight="1" x14ac:dyDescent="0.25">
      <c r="C123" s="6"/>
      <c r="D123" t="str">
        <f t="shared" si="1"/>
        <v/>
      </c>
    </row>
    <row r="124" spans="3:7" ht="71.25" hidden="1" customHeight="1" x14ac:dyDescent="0.25">
      <c r="C124" s="6"/>
      <c r="D124" t="str">
        <f t="shared" si="1"/>
        <v xml:space="preserve">06 50 72 80 72
</v>
      </c>
      <c r="E124" s="6" t="s">
        <v>106</v>
      </c>
      <c r="F124" t="s">
        <v>10</v>
      </c>
    </row>
    <row r="125" spans="3:7" ht="14.25" hidden="1" customHeight="1" x14ac:dyDescent="0.25">
      <c r="C125" s="6"/>
      <c r="D125" t="str">
        <f t="shared" si="1"/>
        <v/>
      </c>
    </row>
    <row r="126" spans="3:7" ht="14.25" hidden="1" customHeight="1" x14ac:dyDescent="0.25">
      <c r="C126" s="6"/>
      <c r="D126" t="str">
        <f t="shared" si="1"/>
        <v/>
      </c>
    </row>
    <row r="127" spans="3:7" ht="14.25" hidden="1" customHeight="1" x14ac:dyDescent="0.25">
      <c r="C127" s="6"/>
      <c r="D127" t="str">
        <f t="shared" si="1"/>
        <v/>
      </c>
    </row>
    <row r="128" spans="3:7" ht="85.5" hidden="1" customHeight="1" x14ac:dyDescent="0.25">
      <c r="C128" s="6"/>
      <c r="D128" t="str">
        <f t="shared" si="1"/>
        <v xml:space="preserve">06 84 18 15 83
</v>
      </c>
      <c r="E128" s="6" t="s">
        <v>107</v>
      </c>
    </row>
    <row r="129" spans="3:6" ht="14.25" hidden="1" customHeight="1" x14ac:dyDescent="0.25">
      <c r="C129" s="6"/>
      <c r="D129" t="str">
        <f t="shared" si="1"/>
        <v/>
      </c>
    </row>
    <row r="130" spans="3:6" ht="14.25" hidden="1" customHeight="1" x14ac:dyDescent="0.25">
      <c r="C130" s="6"/>
      <c r="D130" t="str">
        <f t="shared" si="1"/>
        <v/>
      </c>
    </row>
    <row r="131" spans="3:6" ht="85.5" hidden="1" customHeight="1" x14ac:dyDescent="0.25">
      <c r="C131" s="6"/>
      <c r="D131" t="str">
        <f t="shared" si="1"/>
        <v xml:space="preserve">06 84 38 55 07
</v>
      </c>
      <c r="E131" s="6" t="s">
        <v>108</v>
      </c>
    </row>
    <row r="132" spans="3:6" ht="14.25" hidden="1" customHeight="1" x14ac:dyDescent="0.25">
      <c r="C132" s="6"/>
      <c r="D132" t="str">
        <f t="shared" si="1"/>
        <v/>
      </c>
    </row>
    <row r="133" spans="3:6" ht="14.25" hidden="1" customHeight="1" x14ac:dyDescent="0.25">
      <c r="C133" s="6"/>
      <c r="D133" t="str">
        <f t="shared" si="1"/>
        <v/>
      </c>
    </row>
    <row r="134" spans="3:6" ht="14.25" hidden="1" customHeight="1" x14ac:dyDescent="0.25">
      <c r="C134" s="6"/>
      <c r="D134" t="str">
        <f t="shared" si="1"/>
        <v/>
      </c>
    </row>
    <row r="135" spans="3:6" ht="85.5" hidden="1" customHeight="1" x14ac:dyDescent="0.25">
      <c r="C135" s="6"/>
      <c r="D135" t="str">
        <f t="shared" si="1"/>
        <v xml:space="preserve">06 13 95 29 34
</v>
      </c>
      <c r="E135" s="6" t="s">
        <v>109</v>
      </c>
    </row>
    <row r="136" spans="3:6" ht="14.25" hidden="1" customHeight="1" x14ac:dyDescent="0.25">
      <c r="C136" s="6"/>
      <c r="D136" t="str">
        <f t="shared" si="1"/>
        <v/>
      </c>
    </row>
    <row r="137" spans="3:6" ht="14.25" hidden="1" customHeight="1" x14ac:dyDescent="0.25">
      <c r="C137" s="6"/>
      <c r="D137" t="str">
        <f t="shared" si="1"/>
        <v/>
      </c>
    </row>
    <row r="138" spans="3:6" ht="14.25" hidden="1" customHeight="1" x14ac:dyDescent="0.25">
      <c r="C138" s="6"/>
      <c r="D138" t="str">
        <f t="shared" si="1"/>
        <v/>
      </c>
    </row>
    <row r="139" spans="3:6" ht="99.75" customHeight="1" x14ac:dyDescent="0.25">
      <c r="C139" s="6" t="s">
        <v>112</v>
      </c>
      <c r="D139" t="str">
        <f t="shared" si="1"/>
        <v xml:space="preserve">06 41 80 75 68
</v>
      </c>
      <c r="E139" s="6" t="s">
        <v>110</v>
      </c>
    </row>
    <row r="140" spans="3:6" ht="14.25" hidden="1" customHeight="1" x14ac:dyDescent="0.25">
      <c r="C140" s="6"/>
      <c r="D140" t="str">
        <f t="shared" si="1"/>
        <v/>
      </c>
    </row>
    <row r="141" spans="3:6" ht="14.25" hidden="1" customHeight="1" x14ac:dyDescent="0.25">
      <c r="C141" s="6"/>
      <c r="D141" t="str">
        <f t="shared" si="1"/>
        <v/>
      </c>
    </row>
    <row r="142" spans="3:6" ht="14.25" hidden="1" customHeight="1" x14ac:dyDescent="0.25">
      <c r="C142" s="6"/>
      <c r="D142" t="str">
        <f t="shared" si="1"/>
        <v/>
      </c>
    </row>
    <row r="143" spans="3:6" ht="85.5" hidden="1" customHeight="1" x14ac:dyDescent="0.25">
      <c r="C143" s="6"/>
      <c r="D143" t="str">
        <f t="shared" si="1"/>
        <v xml:space="preserve">06 21 03 99 10
</v>
      </c>
      <c r="E143" s="6" t="s">
        <v>111</v>
      </c>
      <c r="F143" t="s">
        <v>10</v>
      </c>
    </row>
    <row r="144" spans="3:6" ht="14.25" hidden="1" customHeight="1" x14ac:dyDescent="0.25">
      <c r="C144" s="6"/>
      <c r="D144" t="str">
        <f t="shared" si="1"/>
        <v/>
      </c>
    </row>
    <row r="145" spans="1:7" ht="14.25" hidden="1" customHeight="1" x14ac:dyDescent="0.25">
      <c r="C145" s="6"/>
      <c r="D145" t="str">
        <f t="shared" si="1"/>
        <v/>
      </c>
    </row>
    <row r="146" spans="1:7" ht="14.25" hidden="1" customHeight="1" x14ac:dyDescent="0.25">
      <c r="C146" s="6"/>
      <c r="D146" t="str">
        <f t="shared" si="1"/>
        <v/>
      </c>
    </row>
    <row r="147" spans="1:7" ht="45" x14ac:dyDescent="0.25">
      <c r="A147" t="s">
        <v>21</v>
      </c>
      <c r="B147" t="s">
        <v>167</v>
      </c>
      <c r="C147" s="6" t="s">
        <v>21</v>
      </c>
      <c r="D147" s="6" t="s">
        <v>157</v>
      </c>
      <c r="E147" s="6" t="s">
        <v>113</v>
      </c>
      <c r="F147" t="s">
        <v>10</v>
      </c>
      <c r="G147" s="6" t="s">
        <v>148</v>
      </c>
    </row>
    <row r="148" spans="1:7" ht="14.25" hidden="1" customHeight="1" x14ac:dyDescent="0.25">
      <c r="C148" s="6"/>
      <c r="D148" t="str">
        <f t="shared" si="1"/>
        <v>ok</v>
      </c>
      <c r="E148" t="s">
        <v>21</v>
      </c>
    </row>
    <row r="149" spans="1:7" ht="14.25" hidden="1" customHeight="1" x14ac:dyDescent="0.25">
      <c r="C149" s="6"/>
      <c r="D149" t="str">
        <f t="shared" si="1"/>
        <v/>
      </c>
    </row>
    <row r="150" spans="1:7" ht="14.25" hidden="1" customHeight="1" x14ac:dyDescent="0.25">
      <c r="C150" s="6"/>
      <c r="D150" t="str">
        <f t="shared" ref="D150:D212" si="2">IF(E150&lt;&gt;"",LEFT(E150,15),"")</f>
        <v/>
      </c>
    </row>
    <row r="151" spans="1:7" ht="14.25" hidden="1" customHeight="1" x14ac:dyDescent="0.25">
      <c r="C151" s="6"/>
      <c r="D151" t="str">
        <f t="shared" si="2"/>
        <v/>
      </c>
    </row>
    <row r="152" spans="1:7" ht="14.25" hidden="1" customHeight="1" x14ac:dyDescent="0.25">
      <c r="C152" s="6"/>
      <c r="D152" t="str">
        <f t="shared" si="2"/>
        <v/>
      </c>
    </row>
    <row r="153" spans="1:7" ht="85.5" hidden="1" customHeight="1" x14ac:dyDescent="0.25">
      <c r="C153" s="6"/>
      <c r="D153" t="str">
        <f t="shared" si="2"/>
        <v xml:space="preserve">06 84 96 12 65
</v>
      </c>
      <c r="E153" s="6" t="s">
        <v>114</v>
      </c>
    </row>
    <row r="154" spans="1:7" ht="14.25" hidden="1" customHeight="1" x14ac:dyDescent="0.25">
      <c r="C154" s="6"/>
      <c r="D154" t="str">
        <f t="shared" si="2"/>
        <v/>
      </c>
    </row>
    <row r="155" spans="1:7" ht="14.25" hidden="1" customHeight="1" x14ac:dyDescent="0.25">
      <c r="C155" s="6"/>
      <c r="D155" t="str">
        <f t="shared" si="2"/>
        <v/>
      </c>
    </row>
    <row r="156" spans="1:7" ht="85.5" hidden="1" customHeight="1" x14ac:dyDescent="0.25">
      <c r="C156" s="6"/>
      <c r="D156" t="str">
        <f t="shared" si="2"/>
        <v xml:space="preserve">06 24 62 00 48
</v>
      </c>
      <c r="E156" s="6" t="s">
        <v>115</v>
      </c>
    </row>
    <row r="157" spans="1:7" ht="14.25" hidden="1" customHeight="1" x14ac:dyDescent="0.25">
      <c r="C157" s="6"/>
      <c r="D157" t="str">
        <f t="shared" si="2"/>
        <v/>
      </c>
    </row>
    <row r="158" spans="1:7" ht="14.25" hidden="1" customHeight="1" x14ac:dyDescent="0.25">
      <c r="C158" s="6"/>
      <c r="D158" t="str">
        <f t="shared" si="2"/>
        <v/>
      </c>
    </row>
    <row r="159" spans="1:7" ht="14.25" hidden="1" customHeight="1" x14ac:dyDescent="0.25">
      <c r="C159" s="6"/>
      <c r="D159" t="str">
        <f t="shared" si="2"/>
        <v/>
      </c>
    </row>
    <row r="160" spans="1:7" ht="99.75" hidden="1" customHeight="1" x14ac:dyDescent="0.25">
      <c r="C160" s="6"/>
      <c r="D160" t="str">
        <f t="shared" si="2"/>
        <v xml:space="preserve">06 61 86 15 67
</v>
      </c>
      <c r="E160" s="6" t="s">
        <v>116</v>
      </c>
    </row>
    <row r="161" spans="2:7" ht="14.25" hidden="1" customHeight="1" x14ac:dyDescent="0.25">
      <c r="C161" s="6"/>
      <c r="D161" t="str">
        <f t="shared" si="2"/>
        <v/>
      </c>
    </row>
    <row r="162" spans="2:7" ht="14.25" hidden="1" customHeight="1" x14ac:dyDescent="0.25">
      <c r="C162" s="6"/>
      <c r="D162" t="str">
        <f t="shared" si="2"/>
        <v/>
      </c>
    </row>
    <row r="163" spans="2:7" ht="14.25" hidden="1" customHeight="1" x14ac:dyDescent="0.25">
      <c r="C163" s="6"/>
      <c r="D163" t="str">
        <f t="shared" si="2"/>
        <v/>
      </c>
    </row>
    <row r="164" spans="2:7" ht="71.25" customHeight="1" x14ac:dyDescent="0.25">
      <c r="B164" s="6" t="s">
        <v>118</v>
      </c>
      <c r="C164" s="6" t="s">
        <v>119</v>
      </c>
      <c r="D164" t="str">
        <f t="shared" si="2"/>
        <v xml:space="preserve">06 29 30 83 90
</v>
      </c>
      <c r="E164" s="6" t="s">
        <v>117</v>
      </c>
    </row>
    <row r="165" spans="2:7" ht="14.25" hidden="1" customHeight="1" x14ac:dyDescent="0.25">
      <c r="C165" s="6"/>
      <c r="D165" t="str">
        <f t="shared" si="2"/>
        <v/>
      </c>
    </row>
    <row r="166" spans="2:7" ht="14.25" hidden="1" customHeight="1" x14ac:dyDescent="0.25">
      <c r="C166" s="6"/>
      <c r="D166" t="str">
        <f t="shared" si="2"/>
        <v/>
      </c>
    </row>
    <row r="167" spans="2:7" ht="14.25" hidden="1" customHeight="1" x14ac:dyDescent="0.25">
      <c r="D167" t="str">
        <f t="shared" si="2"/>
        <v/>
      </c>
    </row>
    <row r="168" spans="2:7" ht="45" x14ac:dyDescent="0.25">
      <c r="B168" s="6" t="s">
        <v>168</v>
      </c>
      <c r="C168" s="6" t="s">
        <v>21</v>
      </c>
      <c r="D168" s="6" t="s">
        <v>158</v>
      </c>
      <c r="E168" s="6" t="s">
        <v>120</v>
      </c>
      <c r="G168" s="6" t="s">
        <v>149</v>
      </c>
    </row>
    <row r="169" spans="2:7" ht="14.25" hidden="1" customHeight="1" x14ac:dyDescent="0.25">
      <c r="C169" s="6"/>
      <c r="D169" t="str">
        <f t="shared" si="2"/>
        <v/>
      </c>
    </row>
    <row r="170" spans="2:7" ht="14.25" hidden="1" customHeight="1" x14ac:dyDescent="0.25">
      <c r="C170" s="6"/>
      <c r="D170" t="str">
        <f t="shared" si="2"/>
        <v/>
      </c>
    </row>
    <row r="171" spans="2:7" ht="14.25" hidden="1" customHeight="1" x14ac:dyDescent="0.25">
      <c r="C171" s="6"/>
      <c r="D171" t="str">
        <f t="shared" si="2"/>
        <v/>
      </c>
    </row>
    <row r="172" spans="2:7" ht="14.25" hidden="1" customHeight="1" x14ac:dyDescent="0.25">
      <c r="C172" s="6"/>
      <c r="D172" t="str">
        <f t="shared" si="2"/>
        <v/>
      </c>
    </row>
    <row r="173" spans="2:7" ht="85.5" customHeight="1" x14ac:dyDescent="0.25">
      <c r="C173" s="6" t="s">
        <v>122</v>
      </c>
      <c r="D173" t="str">
        <f t="shared" si="2"/>
        <v xml:space="preserve">07 67 11 10 15
</v>
      </c>
      <c r="E173" s="6" t="s">
        <v>121</v>
      </c>
    </row>
    <row r="174" spans="2:7" ht="14.25" hidden="1" customHeight="1" x14ac:dyDescent="0.25">
      <c r="C174" s="6"/>
      <c r="D174" t="str">
        <f t="shared" si="2"/>
        <v/>
      </c>
    </row>
    <row r="175" spans="2:7" ht="14.25" hidden="1" customHeight="1" x14ac:dyDescent="0.25">
      <c r="C175" s="6"/>
      <c r="D175" t="str">
        <f t="shared" si="2"/>
        <v/>
      </c>
    </row>
    <row r="176" spans="2:7" ht="14.25" hidden="1" customHeight="1" x14ac:dyDescent="0.25">
      <c r="C176" s="6"/>
      <c r="D176" t="str">
        <f t="shared" si="2"/>
        <v/>
      </c>
    </row>
    <row r="177" spans="1:7" ht="85.5" hidden="1" customHeight="1" x14ac:dyDescent="0.25">
      <c r="C177" s="6"/>
      <c r="D177" t="str">
        <f t="shared" si="2"/>
        <v xml:space="preserve">06 46 84 78 46
</v>
      </c>
      <c r="E177" s="6" t="s">
        <v>123</v>
      </c>
      <c r="F177" t="s">
        <v>10</v>
      </c>
    </row>
    <row r="178" spans="1:7" ht="14.25" hidden="1" customHeight="1" x14ac:dyDescent="0.25">
      <c r="C178" s="6"/>
      <c r="D178" t="str">
        <f t="shared" si="2"/>
        <v/>
      </c>
    </row>
    <row r="179" spans="1:7" ht="14.25" hidden="1" customHeight="1" x14ac:dyDescent="0.25">
      <c r="C179" s="6"/>
      <c r="D179" t="str">
        <f t="shared" si="2"/>
        <v/>
      </c>
    </row>
    <row r="180" spans="1:7" ht="45" x14ac:dyDescent="0.25">
      <c r="A180" t="s">
        <v>170</v>
      </c>
      <c r="B180" t="s">
        <v>169</v>
      </c>
      <c r="C180" s="6" t="s">
        <v>21</v>
      </c>
      <c r="D180" t="s">
        <v>159</v>
      </c>
      <c r="E180" s="6" t="s">
        <v>124</v>
      </c>
      <c r="G180" t="s">
        <v>150</v>
      </c>
    </row>
    <row r="181" spans="1:7" ht="14.25" hidden="1" customHeight="1" x14ac:dyDescent="0.25">
      <c r="C181" s="6"/>
      <c r="D181" t="str">
        <f t="shared" si="2"/>
        <v/>
      </c>
    </row>
    <row r="182" spans="1:7" ht="14.25" hidden="1" customHeight="1" x14ac:dyDescent="0.25">
      <c r="C182" s="6"/>
      <c r="D182" t="str">
        <f t="shared" si="2"/>
        <v/>
      </c>
    </row>
    <row r="183" spans="1:7" ht="14.25" hidden="1" customHeight="1" x14ac:dyDescent="0.25">
      <c r="C183" s="6"/>
      <c r="D183" t="str">
        <f t="shared" si="2"/>
        <v/>
      </c>
    </row>
    <row r="184" spans="1:7" ht="85.5" hidden="1" customHeight="1" x14ac:dyDescent="0.25">
      <c r="C184" s="6"/>
      <c r="D184" t="str">
        <f t="shared" si="2"/>
        <v xml:space="preserve">07 48 10 60 59
</v>
      </c>
      <c r="E184" s="6" t="s">
        <v>125</v>
      </c>
    </row>
    <row r="185" spans="1:7" ht="14.25" hidden="1" customHeight="1" x14ac:dyDescent="0.25">
      <c r="C185" s="6"/>
      <c r="D185" t="str">
        <f t="shared" si="2"/>
        <v/>
      </c>
    </row>
    <row r="186" spans="1:7" ht="14.25" hidden="1" customHeight="1" x14ac:dyDescent="0.25">
      <c r="C186" s="6"/>
      <c r="D186" t="str">
        <f t="shared" si="2"/>
        <v/>
      </c>
    </row>
    <row r="187" spans="1:7" ht="45" x14ac:dyDescent="0.25">
      <c r="A187" t="s">
        <v>21</v>
      </c>
      <c r="B187" t="s">
        <v>171</v>
      </c>
      <c r="C187" s="6" t="s">
        <v>21</v>
      </c>
      <c r="D187" s="6" t="s">
        <v>160</v>
      </c>
      <c r="E187" s="14" t="s">
        <v>126</v>
      </c>
      <c r="G187" t="s">
        <v>151</v>
      </c>
    </row>
    <row r="188" spans="1:7" ht="14.25" hidden="1" customHeight="1" x14ac:dyDescent="0.25">
      <c r="C188" s="6"/>
      <c r="D188" t="str">
        <f t="shared" si="2"/>
        <v/>
      </c>
    </row>
    <row r="189" spans="1:7" ht="14.25" hidden="1" customHeight="1" x14ac:dyDescent="0.25">
      <c r="C189" s="6"/>
      <c r="D189" t="str">
        <f t="shared" si="2"/>
        <v/>
      </c>
    </row>
    <row r="190" spans="1:7" ht="99.75" customHeight="1" x14ac:dyDescent="0.25">
      <c r="C190" s="6" t="s">
        <v>129</v>
      </c>
      <c r="D190" t="str">
        <f t="shared" si="2"/>
        <v xml:space="preserve">06 62 89 08 69
</v>
      </c>
      <c r="E190" s="6" t="s">
        <v>127</v>
      </c>
    </row>
    <row r="191" spans="1:7" ht="14.25" hidden="1" customHeight="1" x14ac:dyDescent="0.25">
      <c r="C191" s="6"/>
      <c r="D191" t="str">
        <f t="shared" si="2"/>
        <v/>
      </c>
    </row>
    <row r="192" spans="1:7" ht="14.25" hidden="1" customHeight="1" x14ac:dyDescent="0.25">
      <c r="C192" s="6"/>
      <c r="D192" t="str">
        <f t="shared" si="2"/>
        <v/>
      </c>
    </row>
    <row r="193" spans="3:6" ht="85.5" customHeight="1" x14ac:dyDescent="0.25">
      <c r="C193" s="6" t="s">
        <v>130</v>
      </c>
      <c r="D193" t="str">
        <f t="shared" si="2"/>
        <v xml:space="preserve">06 70 35 64 24
</v>
      </c>
      <c r="E193" s="6" t="s">
        <v>128</v>
      </c>
    </row>
    <row r="194" spans="3:6" ht="14.25" hidden="1" customHeight="1" x14ac:dyDescent="0.25">
      <c r="C194" s="6"/>
      <c r="D194" t="str">
        <f t="shared" si="2"/>
        <v/>
      </c>
    </row>
    <row r="195" spans="3:6" ht="14.25" hidden="1" customHeight="1" x14ac:dyDescent="0.25">
      <c r="C195" s="6"/>
      <c r="D195" t="str">
        <f t="shared" si="2"/>
        <v/>
      </c>
    </row>
    <row r="196" spans="3:6" ht="14.25" hidden="1" customHeight="1" x14ac:dyDescent="0.25">
      <c r="C196" s="6"/>
      <c r="D196" t="str">
        <f t="shared" si="2"/>
        <v/>
      </c>
    </row>
    <row r="197" spans="3:6" ht="85.5" hidden="1" customHeight="1" x14ac:dyDescent="0.25">
      <c r="C197" s="6"/>
      <c r="D197" t="str">
        <f t="shared" si="2"/>
        <v xml:space="preserve">06 26 85 75 78
</v>
      </c>
      <c r="E197" s="6" t="s">
        <v>131</v>
      </c>
      <c r="F197" t="s">
        <v>10</v>
      </c>
    </row>
    <row r="198" spans="3:6" ht="14.25" hidden="1" customHeight="1" x14ac:dyDescent="0.25">
      <c r="C198" s="6"/>
      <c r="D198" t="str">
        <f t="shared" si="2"/>
        <v/>
      </c>
    </row>
    <row r="199" spans="3:6" ht="14.25" hidden="1" customHeight="1" x14ac:dyDescent="0.25">
      <c r="C199" s="6"/>
      <c r="D199" t="str">
        <f t="shared" si="2"/>
        <v/>
      </c>
    </row>
    <row r="200" spans="3:6" ht="14.25" hidden="1" customHeight="1" x14ac:dyDescent="0.25">
      <c r="C200" s="6"/>
      <c r="D200" t="str">
        <f t="shared" si="2"/>
        <v/>
      </c>
    </row>
    <row r="201" spans="3:6" ht="85.5" hidden="1" customHeight="1" x14ac:dyDescent="0.25">
      <c r="C201" s="6"/>
      <c r="D201" t="str">
        <f t="shared" si="2"/>
        <v xml:space="preserve">06 07 87 56 35
</v>
      </c>
      <c r="E201" s="6" t="s">
        <v>132</v>
      </c>
    </row>
    <row r="202" spans="3:6" ht="14.25" hidden="1" customHeight="1" x14ac:dyDescent="0.25">
      <c r="C202" s="6"/>
      <c r="D202" t="str">
        <f t="shared" si="2"/>
        <v/>
      </c>
    </row>
    <row r="203" spans="3:6" ht="14.25" hidden="1" customHeight="1" x14ac:dyDescent="0.25">
      <c r="C203" s="6"/>
      <c r="D203" t="str">
        <f t="shared" si="2"/>
        <v/>
      </c>
    </row>
    <row r="204" spans="3:6" ht="14.25" hidden="1" customHeight="1" x14ac:dyDescent="0.25">
      <c r="C204" s="6"/>
      <c r="D204" t="str">
        <f t="shared" si="2"/>
        <v/>
      </c>
    </row>
    <row r="205" spans="3:6" ht="85.5" hidden="1" customHeight="1" x14ac:dyDescent="0.25">
      <c r="C205" s="6"/>
      <c r="D205" t="str">
        <f t="shared" si="2"/>
        <v xml:space="preserve">06 16 35 45 37
</v>
      </c>
      <c r="E205" s="6" t="s">
        <v>133</v>
      </c>
    </row>
    <row r="206" spans="3:6" ht="14.25" hidden="1" customHeight="1" x14ac:dyDescent="0.25">
      <c r="C206" s="6"/>
      <c r="D206" t="str">
        <f t="shared" si="2"/>
        <v/>
      </c>
    </row>
    <row r="207" spans="3:6" ht="14.25" hidden="1" customHeight="1" x14ac:dyDescent="0.25">
      <c r="C207" s="6"/>
      <c r="D207" t="str">
        <f t="shared" si="2"/>
        <v/>
      </c>
    </row>
    <row r="208" spans="3:6" ht="14.25" hidden="1" customHeight="1" x14ac:dyDescent="0.25">
      <c r="C208" s="6"/>
      <c r="D208" t="str">
        <f t="shared" si="2"/>
        <v/>
      </c>
    </row>
    <row r="209" spans="1:7" ht="85.5" hidden="1" customHeight="1" x14ac:dyDescent="0.25">
      <c r="C209" s="6"/>
      <c r="D209" t="str">
        <f t="shared" si="2"/>
        <v xml:space="preserve">06 42 17 40 09
</v>
      </c>
      <c r="E209" s="6" t="s">
        <v>134</v>
      </c>
    </row>
    <row r="210" spans="1:7" ht="14.25" hidden="1" customHeight="1" x14ac:dyDescent="0.25">
      <c r="C210" s="6"/>
      <c r="D210" t="str">
        <f t="shared" si="2"/>
        <v/>
      </c>
    </row>
    <row r="211" spans="1:7" ht="14.25" hidden="1" customHeight="1" x14ac:dyDescent="0.25">
      <c r="C211" s="6"/>
      <c r="D211" t="str">
        <f t="shared" si="2"/>
        <v/>
      </c>
    </row>
    <row r="212" spans="1:7" ht="14.25" hidden="1" customHeight="1" x14ac:dyDescent="0.25">
      <c r="C212" s="6"/>
      <c r="D212" t="str">
        <f t="shared" si="2"/>
        <v/>
      </c>
    </row>
    <row r="213" spans="1:7" ht="45" x14ac:dyDescent="0.25">
      <c r="A213" t="s">
        <v>172</v>
      </c>
      <c r="C213" s="6" t="s">
        <v>21</v>
      </c>
      <c r="D213" t="s">
        <v>161</v>
      </c>
      <c r="E213" s="6" t="s">
        <v>135</v>
      </c>
      <c r="G213" t="s">
        <v>152</v>
      </c>
    </row>
    <row r="214" spans="1:7" hidden="1" x14ac:dyDescent="0.25">
      <c r="C214" s="6"/>
      <c r="D214" t="str">
        <f t="shared" ref="D214:D248" si="3">IF(E214&lt;&gt;"",LEFT(E214,15),"")</f>
        <v/>
      </c>
    </row>
    <row r="215" spans="1:7" hidden="1" x14ac:dyDescent="0.25">
      <c r="C215" s="6"/>
      <c r="D215" t="str">
        <f t="shared" si="3"/>
        <v/>
      </c>
    </row>
    <row r="216" spans="1:7" hidden="1" x14ac:dyDescent="0.25">
      <c r="C216" s="6"/>
      <c r="D216" t="str">
        <f t="shared" si="3"/>
        <v/>
      </c>
    </row>
    <row r="217" spans="1:7" ht="45" hidden="1" x14ac:dyDescent="0.25">
      <c r="C217" s="6"/>
      <c r="D217" t="str">
        <f t="shared" si="3"/>
        <v xml:space="preserve">07 64 17 12 32
</v>
      </c>
      <c r="E217" s="6" t="s">
        <v>136</v>
      </c>
    </row>
    <row r="218" spans="1:7" hidden="1" x14ac:dyDescent="0.25">
      <c r="C218" s="6"/>
      <c r="D218" t="str">
        <f t="shared" si="3"/>
        <v/>
      </c>
    </row>
    <row r="219" spans="1:7" hidden="1" x14ac:dyDescent="0.25">
      <c r="C219" s="6"/>
      <c r="D219" t="str">
        <f t="shared" si="3"/>
        <v/>
      </c>
    </row>
    <row r="220" spans="1:7" hidden="1" x14ac:dyDescent="0.25">
      <c r="C220" s="6"/>
      <c r="D220" t="str">
        <f t="shared" si="3"/>
        <v/>
      </c>
    </row>
    <row r="221" spans="1:7" ht="45" hidden="1" x14ac:dyDescent="0.25">
      <c r="C221" s="6"/>
      <c r="D221" t="str">
        <f t="shared" si="3"/>
        <v xml:space="preserve">06 43 34 18 51
</v>
      </c>
      <c r="E221" s="6" t="s">
        <v>137</v>
      </c>
    </row>
    <row r="222" spans="1:7" hidden="1" x14ac:dyDescent="0.25">
      <c r="C222" s="6"/>
      <c r="D222" t="str">
        <f t="shared" si="3"/>
        <v/>
      </c>
    </row>
    <row r="223" spans="1:7" hidden="1" x14ac:dyDescent="0.25">
      <c r="C223" s="6"/>
      <c r="D223" t="str">
        <f t="shared" si="3"/>
        <v/>
      </c>
    </row>
    <row r="224" spans="1:7" hidden="1" x14ac:dyDescent="0.25">
      <c r="C224" s="6"/>
      <c r="D224" t="str">
        <f t="shared" si="3"/>
        <v/>
      </c>
    </row>
    <row r="225" spans="3:4" hidden="1" x14ac:dyDescent="0.25">
      <c r="C225" s="6"/>
      <c r="D225" t="str">
        <f t="shared" si="3"/>
        <v/>
      </c>
    </row>
    <row r="226" spans="3:4" hidden="1" x14ac:dyDescent="0.25">
      <c r="C226" s="6"/>
      <c r="D226" t="str">
        <f t="shared" si="3"/>
        <v/>
      </c>
    </row>
    <row r="227" spans="3:4" hidden="1" x14ac:dyDescent="0.25">
      <c r="C227" s="6"/>
      <c r="D227" t="str">
        <f t="shared" si="3"/>
        <v/>
      </c>
    </row>
    <row r="228" spans="3:4" hidden="1" x14ac:dyDescent="0.25">
      <c r="C228" s="6"/>
      <c r="D228" t="str">
        <f t="shared" si="3"/>
        <v/>
      </c>
    </row>
    <row r="229" spans="3:4" hidden="1" x14ac:dyDescent="0.25">
      <c r="C229" s="6"/>
      <c r="D229" t="str">
        <f t="shared" si="3"/>
        <v/>
      </c>
    </row>
    <row r="230" spans="3:4" hidden="1" x14ac:dyDescent="0.25">
      <c r="C230" s="6"/>
      <c r="D230" t="str">
        <f t="shared" si="3"/>
        <v/>
      </c>
    </row>
    <row r="231" spans="3:4" hidden="1" x14ac:dyDescent="0.25">
      <c r="C231" s="6"/>
      <c r="D231" t="str">
        <f t="shared" si="3"/>
        <v/>
      </c>
    </row>
    <row r="232" spans="3:4" hidden="1" x14ac:dyDescent="0.25">
      <c r="C232" s="6"/>
      <c r="D232" t="str">
        <f t="shared" si="3"/>
        <v/>
      </c>
    </row>
    <row r="233" spans="3:4" hidden="1" x14ac:dyDescent="0.25">
      <c r="C233" s="6"/>
      <c r="D233" t="str">
        <f t="shared" si="3"/>
        <v/>
      </c>
    </row>
    <row r="234" spans="3:4" hidden="1" x14ac:dyDescent="0.25">
      <c r="C234" s="6"/>
      <c r="D234" t="str">
        <f t="shared" si="3"/>
        <v/>
      </c>
    </row>
    <row r="235" spans="3:4" hidden="1" x14ac:dyDescent="0.25">
      <c r="C235" s="6"/>
      <c r="D235" t="str">
        <f t="shared" si="3"/>
        <v/>
      </c>
    </row>
    <row r="236" spans="3:4" hidden="1" x14ac:dyDescent="0.25">
      <c r="C236" s="6"/>
      <c r="D236" t="str">
        <f t="shared" si="3"/>
        <v/>
      </c>
    </row>
    <row r="237" spans="3:4" hidden="1" x14ac:dyDescent="0.25">
      <c r="C237" s="6"/>
      <c r="D237" t="str">
        <f t="shared" si="3"/>
        <v/>
      </c>
    </row>
    <row r="238" spans="3:4" hidden="1" x14ac:dyDescent="0.25">
      <c r="C238" s="6"/>
      <c r="D238" t="str">
        <f t="shared" si="3"/>
        <v/>
      </c>
    </row>
    <row r="239" spans="3:4" hidden="1" x14ac:dyDescent="0.25">
      <c r="C239" s="6"/>
      <c r="D239" t="str">
        <f t="shared" si="3"/>
        <v/>
      </c>
    </row>
    <row r="240" spans="3:4" hidden="1" x14ac:dyDescent="0.25">
      <c r="C240" s="6"/>
      <c r="D240" t="str">
        <f t="shared" si="3"/>
        <v/>
      </c>
    </row>
    <row r="241" spans="3:4" hidden="1" x14ac:dyDescent="0.25">
      <c r="C241" s="6"/>
      <c r="D241" t="str">
        <f t="shared" si="3"/>
        <v/>
      </c>
    </row>
    <row r="242" spans="3:4" hidden="1" x14ac:dyDescent="0.25">
      <c r="C242" s="6"/>
      <c r="D242" t="str">
        <f t="shared" si="3"/>
        <v/>
      </c>
    </row>
    <row r="243" spans="3:4" hidden="1" x14ac:dyDescent="0.25">
      <c r="C243" s="6"/>
      <c r="D243" t="str">
        <f t="shared" si="3"/>
        <v/>
      </c>
    </row>
    <row r="244" spans="3:4" hidden="1" x14ac:dyDescent="0.25">
      <c r="C244" s="6"/>
      <c r="D244" t="str">
        <f t="shared" si="3"/>
        <v/>
      </c>
    </row>
    <row r="245" spans="3:4" hidden="1" x14ac:dyDescent="0.25">
      <c r="C245" s="6"/>
      <c r="D245" t="str">
        <f t="shared" si="3"/>
        <v/>
      </c>
    </row>
    <row r="246" spans="3:4" hidden="1" x14ac:dyDescent="0.25">
      <c r="C246" s="6"/>
      <c r="D246" t="str">
        <f t="shared" si="3"/>
        <v/>
      </c>
    </row>
    <row r="247" spans="3:4" hidden="1" x14ac:dyDescent="0.25">
      <c r="C247" s="6"/>
      <c r="D247" t="str">
        <f t="shared" si="3"/>
        <v/>
      </c>
    </row>
    <row r="248" spans="3:4" hidden="1" x14ac:dyDescent="0.25">
      <c r="C248" s="6"/>
      <c r="D248" t="str">
        <f t="shared" si="3"/>
        <v/>
      </c>
    </row>
  </sheetData>
  <autoFilter ref="B1:F248" xr:uid="{00000000-0009-0000-0000-000003000000}">
    <filterColumn colId="1">
      <customFilters>
        <customFilter operator="notEqual" val=" "/>
      </customFilters>
    </filterColumn>
  </autoFilter>
  <dataValidations count="1">
    <dataValidation type="list" allowBlank="1" showInputMessage="1" showErrorMessage="1" sqref="B14 F19:F234" xr:uid="{00000000-0002-0000-0300-000000000000}">
      <formula1>$B$13:$B$14</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5">
    <tabColor rgb="FFFF5050"/>
  </sheetPr>
  <dimension ref="A3:L83"/>
  <sheetViews>
    <sheetView topLeftCell="G13" workbookViewId="0">
      <selection activeCell="G37" sqref="G37"/>
    </sheetView>
  </sheetViews>
  <sheetFormatPr baseColWidth="10" defaultColWidth="11" defaultRowHeight="15" x14ac:dyDescent="0.25"/>
  <cols>
    <col min="1" max="1" width="11" style="1"/>
    <col min="2" max="2" width="17.7109375" style="1" bestFit="1" customWidth="1"/>
    <col min="3" max="3" width="14.85546875" style="1" bestFit="1" customWidth="1"/>
    <col min="4" max="4" width="45.5703125" style="1" bestFit="1" customWidth="1"/>
    <col min="5" max="5" width="16" style="1" bestFit="1" customWidth="1"/>
    <col min="6" max="6" width="16.42578125" style="1" bestFit="1" customWidth="1"/>
    <col min="7" max="7" width="168.85546875" style="1" bestFit="1" customWidth="1"/>
    <col min="8" max="8" width="17.85546875" style="1" customWidth="1"/>
    <col min="9" max="9" width="11" style="1" customWidth="1"/>
    <col min="10" max="10" width="11" style="1"/>
    <col min="11" max="11" width="12.140625" style="1" bestFit="1" customWidth="1"/>
    <col min="12" max="12" width="11" style="1"/>
    <col min="13" max="13" width="168.85546875" style="1" bestFit="1" customWidth="1"/>
    <col min="14" max="16384" width="11" style="1"/>
  </cols>
  <sheetData>
    <row r="3" spans="1:12" x14ac:dyDescent="0.25">
      <c r="C3" s="1">
        <f t="array" ref="C3">IFERROR(INDEX(DataBase!$M$10:$M$1995,SMALL(IF($B$7=DataBase!$J$10:$J$1995,ROW(DataBase!$B$10:$B$1995)-MIN(ROW(DataBase!$B$10))+1,""),ROWS(DataBase!$10:10))),"")</f>
        <v>0</v>
      </c>
    </row>
    <row r="7" spans="1:12" x14ac:dyDescent="0.25">
      <c r="B7" s="17" t="s">
        <v>14</v>
      </c>
    </row>
    <row r="10" spans="1:12" s="17" customFormat="1" x14ac:dyDescent="0.25">
      <c r="A10" s="44" t="s">
        <v>2</v>
      </c>
      <c r="B10" s="44" t="s">
        <v>270</v>
      </c>
      <c r="C10" s="44" t="s">
        <v>0</v>
      </c>
      <c r="D10" s="48" t="s">
        <v>271</v>
      </c>
      <c r="E10" s="45" t="s">
        <v>211</v>
      </c>
      <c r="F10" s="47" t="s">
        <v>6</v>
      </c>
      <c r="G10" s="47" t="s">
        <v>8</v>
      </c>
    </row>
    <row r="11" spans="1:12" s="17" customFormat="1" x14ac:dyDescent="0.25">
      <c r="A11" s="17">
        <v>1574146</v>
      </c>
      <c r="B11" s="76" t="s">
        <v>223</v>
      </c>
      <c r="C11" s="89">
        <v>45719.575497685182</v>
      </c>
      <c r="D11" s="17" t="s">
        <v>16</v>
      </c>
      <c r="E11" s="41" t="s">
        <v>199</v>
      </c>
      <c r="F11" s="17" t="s">
        <v>12</v>
      </c>
      <c r="K11" s="25"/>
      <c r="L11" s="42"/>
    </row>
    <row r="12" spans="1:12" s="17" customFormat="1" x14ac:dyDescent="0.25">
      <c r="A12" s="17">
        <v>1344695</v>
      </c>
      <c r="B12" s="76" t="s">
        <v>224</v>
      </c>
      <c r="C12" s="89">
        <v>45719.604907407411</v>
      </c>
      <c r="D12" s="17" t="s">
        <v>15</v>
      </c>
      <c r="E12" s="41" t="s">
        <v>208</v>
      </c>
      <c r="F12" s="17" t="s">
        <v>12</v>
      </c>
      <c r="K12" s="25"/>
      <c r="L12" s="42"/>
    </row>
    <row r="13" spans="1:12" s="17" customFormat="1" x14ac:dyDescent="0.25">
      <c r="A13" s="17">
        <v>314064</v>
      </c>
      <c r="B13" s="76" t="s">
        <v>225</v>
      </c>
      <c r="C13" s="89">
        <v>45720.48510416667</v>
      </c>
      <c r="D13" s="17" t="s">
        <v>24</v>
      </c>
      <c r="E13" s="41" t="s">
        <v>218</v>
      </c>
      <c r="F13" s="17" t="s">
        <v>25</v>
      </c>
      <c r="G13" s="17" t="s">
        <v>26</v>
      </c>
      <c r="K13" s="25"/>
      <c r="L13" s="42"/>
    </row>
    <row r="14" spans="1:12" s="17" customFormat="1" x14ac:dyDescent="0.25">
      <c r="A14" s="17">
        <v>1611218</v>
      </c>
      <c r="B14" s="76" t="s">
        <v>226</v>
      </c>
      <c r="C14" s="89">
        <v>45721.392754629633</v>
      </c>
      <c r="D14" s="17" t="s">
        <v>27</v>
      </c>
      <c r="E14" s="41" t="s">
        <v>218</v>
      </c>
      <c r="F14" s="17" t="s">
        <v>28</v>
      </c>
      <c r="G14" s="17" t="s">
        <v>29</v>
      </c>
      <c r="K14" s="25"/>
      <c r="L14" s="42"/>
    </row>
    <row r="15" spans="1:12" s="17" customFormat="1" x14ac:dyDescent="0.25">
      <c r="A15" s="17">
        <v>1611218</v>
      </c>
      <c r="B15" s="76" t="s">
        <v>226</v>
      </c>
      <c r="C15" s="89">
        <v>45721.660717592589</v>
      </c>
      <c r="D15" s="17" t="s">
        <v>27</v>
      </c>
      <c r="E15" s="41" t="s">
        <v>30</v>
      </c>
      <c r="G15" s="17" t="s">
        <v>31</v>
      </c>
      <c r="K15" s="25"/>
      <c r="L15" s="42"/>
    </row>
    <row r="16" spans="1:12" s="17" customFormat="1" x14ac:dyDescent="0.25">
      <c r="A16" s="17">
        <v>1602797</v>
      </c>
      <c r="B16" s="76" t="s">
        <v>227</v>
      </c>
      <c r="C16" s="89">
        <v>45722.660717592589</v>
      </c>
      <c r="D16" s="17" t="s">
        <v>173</v>
      </c>
      <c r="E16" s="41" t="s">
        <v>174</v>
      </c>
      <c r="G16" s="17" t="s">
        <v>175</v>
      </c>
      <c r="K16" s="25"/>
      <c r="L16" s="42"/>
    </row>
    <row r="17" spans="1:12" s="17" customFormat="1" x14ac:dyDescent="0.25">
      <c r="A17" s="17">
        <v>1630171</v>
      </c>
      <c r="B17" s="76" t="s">
        <v>228</v>
      </c>
      <c r="C17" s="89">
        <v>45723.64234953704</v>
      </c>
      <c r="D17" s="17" t="s">
        <v>184</v>
      </c>
      <c r="E17" s="41" t="s">
        <v>242</v>
      </c>
      <c r="F17" s="17" t="s">
        <v>193</v>
      </c>
      <c r="G17" s="17" t="s">
        <v>194</v>
      </c>
      <c r="K17" s="25"/>
      <c r="L17" s="42"/>
    </row>
    <row r="18" spans="1:12" s="17" customFormat="1" x14ac:dyDescent="0.25">
      <c r="A18" s="17">
        <v>1594927</v>
      </c>
      <c r="B18" s="76" t="s">
        <v>229</v>
      </c>
      <c r="C18" s="89">
        <v>45724.408958333333</v>
      </c>
      <c r="D18" s="17" t="s">
        <v>202</v>
      </c>
      <c r="E18" s="41" t="s">
        <v>218</v>
      </c>
      <c r="F18" s="17" t="s">
        <v>189</v>
      </c>
      <c r="G18" s="17" t="s">
        <v>204</v>
      </c>
      <c r="K18" s="25"/>
      <c r="L18" s="42"/>
    </row>
    <row r="19" spans="1:12" s="17" customFormat="1" x14ac:dyDescent="0.25">
      <c r="A19" s="17">
        <v>1594927</v>
      </c>
      <c r="B19" s="76" t="s">
        <v>229</v>
      </c>
      <c r="C19" s="89">
        <v>45724.409722222219</v>
      </c>
      <c r="D19" s="17" t="s">
        <v>202</v>
      </c>
      <c r="E19" s="41" t="s">
        <v>218</v>
      </c>
      <c r="F19" s="17" t="s">
        <v>189</v>
      </c>
      <c r="G19" s="17" t="s">
        <v>204</v>
      </c>
      <c r="K19" s="25"/>
      <c r="L19" s="42"/>
    </row>
    <row r="20" spans="1:12" s="17" customFormat="1" x14ac:dyDescent="0.25">
      <c r="A20" s="17">
        <v>1637269</v>
      </c>
      <c r="B20" s="76" t="s">
        <v>230</v>
      </c>
      <c r="C20" s="89">
        <v>45724.413391203707</v>
      </c>
      <c r="D20" s="17" t="s">
        <v>206</v>
      </c>
      <c r="E20" s="41" t="s">
        <v>208</v>
      </c>
      <c r="F20" s="17" t="s">
        <v>193</v>
      </c>
      <c r="G20" s="17" t="s">
        <v>207</v>
      </c>
      <c r="K20" s="25"/>
      <c r="L20" s="42"/>
    </row>
    <row r="21" spans="1:12" s="17" customFormat="1" x14ac:dyDescent="0.25">
      <c r="A21" s="17">
        <v>1637269</v>
      </c>
      <c r="B21" s="76" t="s">
        <v>230</v>
      </c>
      <c r="C21" s="89">
        <v>45726.492523148147</v>
      </c>
      <c r="D21" s="17" t="s">
        <v>206</v>
      </c>
      <c r="E21" s="41" t="s">
        <v>208</v>
      </c>
      <c r="F21" s="17" t="s">
        <v>193</v>
      </c>
      <c r="G21" s="17" t="s">
        <v>220</v>
      </c>
      <c r="K21" s="25"/>
      <c r="L21" s="42"/>
    </row>
    <row r="22" spans="1:12" s="17" customFormat="1" x14ac:dyDescent="0.25">
      <c r="A22" s="17">
        <v>1591725</v>
      </c>
      <c r="B22" s="76" t="s">
        <v>231</v>
      </c>
      <c r="C22" s="89">
        <v>45726.558148148149</v>
      </c>
      <c r="D22" s="17" t="s">
        <v>216</v>
      </c>
      <c r="E22" s="41" t="s">
        <v>199</v>
      </c>
      <c r="F22" s="17" t="s">
        <v>193</v>
      </c>
      <c r="G22" s="17" t="s">
        <v>221</v>
      </c>
      <c r="K22" s="25"/>
      <c r="L22" s="42"/>
    </row>
    <row r="23" spans="1:12" s="17" customFormat="1" x14ac:dyDescent="0.25">
      <c r="A23" s="17">
        <v>1560288</v>
      </c>
      <c r="B23" s="76" t="s">
        <v>232</v>
      </c>
      <c r="C23" s="89">
        <v>45726.671678240738</v>
      </c>
      <c r="D23" s="17" t="s">
        <v>217</v>
      </c>
      <c r="E23" s="41" t="s">
        <v>208</v>
      </c>
      <c r="F23" s="17" t="s">
        <v>190</v>
      </c>
      <c r="G23" s="17" t="s">
        <v>222</v>
      </c>
      <c r="K23" s="25"/>
      <c r="L23" s="42"/>
    </row>
    <row r="24" spans="1:12" s="17" customFormat="1" x14ac:dyDescent="0.25">
      <c r="A24" s="17">
        <v>1560288</v>
      </c>
      <c r="B24" s="76" t="s">
        <v>232</v>
      </c>
      <c r="C24" s="89">
        <v>45727.355358796296</v>
      </c>
      <c r="D24" s="17" t="s">
        <v>217</v>
      </c>
      <c r="E24" s="41" t="s">
        <v>208</v>
      </c>
      <c r="F24" s="17" t="s">
        <v>193</v>
      </c>
      <c r="G24" s="17" t="s">
        <v>233</v>
      </c>
      <c r="K24" s="25"/>
      <c r="L24" s="42"/>
    </row>
    <row r="25" spans="1:12" s="17" customFormat="1" x14ac:dyDescent="0.25">
      <c r="A25" s="17">
        <v>1591725</v>
      </c>
      <c r="B25" s="76" t="s">
        <v>231</v>
      </c>
      <c r="C25" s="89">
        <v>45727.365555555552</v>
      </c>
      <c r="D25" s="17" t="s">
        <v>216</v>
      </c>
      <c r="E25" s="41" t="s">
        <v>208</v>
      </c>
      <c r="F25" s="17" t="s">
        <v>193</v>
      </c>
      <c r="G25" s="17" t="s">
        <v>235</v>
      </c>
      <c r="K25" s="25"/>
      <c r="L25" s="42"/>
    </row>
    <row r="26" spans="1:12" s="17" customFormat="1" x14ac:dyDescent="0.25">
      <c r="A26" s="17">
        <v>1637269</v>
      </c>
      <c r="B26" s="76" t="s">
        <v>230</v>
      </c>
      <c r="C26" s="89">
        <v>45727.374490740738</v>
      </c>
      <c r="D26" s="17" t="s">
        <v>206</v>
      </c>
      <c r="E26" s="41" t="s">
        <v>208</v>
      </c>
      <c r="F26" s="17" t="s">
        <v>193</v>
      </c>
      <c r="G26" s="17" t="s">
        <v>234</v>
      </c>
      <c r="K26" s="25"/>
      <c r="L26" s="42"/>
    </row>
    <row r="27" spans="1:12" s="17" customFormat="1" x14ac:dyDescent="0.25">
      <c r="A27" s="17">
        <v>1629776</v>
      </c>
      <c r="B27" s="76" t="s">
        <v>255</v>
      </c>
      <c r="C27" s="89">
        <v>45727.476030092592</v>
      </c>
      <c r="D27" s="17" t="s">
        <v>238</v>
      </c>
      <c r="E27" s="41" t="s">
        <v>199</v>
      </c>
      <c r="F27" s="17" t="s">
        <v>190</v>
      </c>
      <c r="G27" s="17" t="s">
        <v>240</v>
      </c>
      <c r="K27" s="25"/>
      <c r="L27" s="42"/>
    </row>
    <row r="28" spans="1:12" s="17" customFormat="1" x14ac:dyDescent="0.25">
      <c r="A28" s="17">
        <v>1560288</v>
      </c>
      <c r="B28" s="76" t="s">
        <v>232</v>
      </c>
      <c r="C28" s="89">
        <v>45727.562349537038</v>
      </c>
      <c r="D28" s="17" t="s">
        <v>217</v>
      </c>
      <c r="E28" s="41" t="s">
        <v>199</v>
      </c>
      <c r="F28" s="17" t="s">
        <v>190</v>
      </c>
      <c r="G28" s="17" t="s">
        <v>244</v>
      </c>
      <c r="K28" s="25"/>
      <c r="L28" s="42"/>
    </row>
    <row r="29" spans="1:12" s="17" customFormat="1" x14ac:dyDescent="0.25">
      <c r="A29" s="17">
        <v>1637269</v>
      </c>
      <c r="B29" s="76" t="s">
        <v>230</v>
      </c>
      <c r="C29" s="89">
        <v>45727.578125</v>
      </c>
      <c r="D29" s="17" t="s">
        <v>206</v>
      </c>
      <c r="E29" s="41" t="s">
        <v>208</v>
      </c>
      <c r="F29" s="17" t="s">
        <v>193</v>
      </c>
      <c r="G29" s="17" t="s">
        <v>245</v>
      </c>
      <c r="K29" s="25"/>
      <c r="L29" s="42"/>
    </row>
    <row r="30" spans="1:12" x14ac:dyDescent="0.25">
      <c r="A30" s="1">
        <v>575358</v>
      </c>
      <c r="B30" s="77" t="s">
        <v>256</v>
      </c>
      <c r="C30" s="89">
        <v>45727.600590277776</v>
      </c>
      <c r="D30" s="1" t="s">
        <v>246</v>
      </c>
      <c r="E30" s="20" t="s">
        <v>208</v>
      </c>
      <c r="F30" s="1" t="s">
        <v>190</v>
      </c>
      <c r="G30" s="1" t="s">
        <v>247</v>
      </c>
      <c r="K30" s="25"/>
      <c r="L30" s="23"/>
    </row>
    <row r="31" spans="1:12" x14ac:dyDescent="0.25">
      <c r="A31" s="1">
        <v>1560288</v>
      </c>
      <c r="B31" s="1" t="s">
        <v>232</v>
      </c>
      <c r="C31" s="90">
        <v>45728.345277777778</v>
      </c>
      <c r="D31" s="1" t="s">
        <v>217</v>
      </c>
      <c r="E31" s="1" t="s">
        <v>208</v>
      </c>
      <c r="F31" s="1" t="s">
        <v>193</v>
      </c>
      <c r="G31" s="1" t="s">
        <v>233</v>
      </c>
    </row>
    <row r="32" spans="1:12" x14ac:dyDescent="0.25">
      <c r="A32" s="1">
        <v>1591725</v>
      </c>
      <c r="B32" s="1" t="s">
        <v>231</v>
      </c>
      <c r="C32" s="90">
        <v>45728.358912037038</v>
      </c>
      <c r="D32" s="1" t="s">
        <v>216</v>
      </c>
      <c r="E32" s="1" t="s">
        <v>199</v>
      </c>
      <c r="F32" s="1" t="s">
        <v>193</v>
      </c>
      <c r="G32" s="1" t="s">
        <v>233</v>
      </c>
    </row>
    <row r="33" spans="1:7" x14ac:dyDescent="0.25">
      <c r="A33" s="1">
        <v>1637269</v>
      </c>
      <c r="B33" s="1" t="s">
        <v>230</v>
      </c>
      <c r="C33" s="90">
        <v>45728.360729166663</v>
      </c>
      <c r="D33" s="1" t="s">
        <v>206</v>
      </c>
      <c r="E33" s="1" t="s">
        <v>181</v>
      </c>
      <c r="F33" s="1" t="s">
        <v>189</v>
      </c>
      <c r="G33" s="1" t="s">
        <v>257</v>
      </c>
    </row>
    <row r="34" spans="1:7" x14ac:dyDescent="0.25">
      <c r="A34" s="1">
        <v>1630171</v>
      </c>
      <c r="B34" s="1" t="s">
        <v>228</v>
      </c>
      <c r="C34" s="90">
        <v>45728.423148148147</v>
      </c>
      <c r="D34" s="1" t="s">
        <v>184</v>
      </c>
      <c r="E34" s="1" t="s">
        <v>242</v>
      </c>
      <c r="F34" s="1" t="s">
        <v>272</v>
      </c>
      <c r="G34" s="1" t="s">
        <v>260</v>
      </c>
    </row>
    <row r="35" spans="1:7" x14ac:dyDescent="0.25">
      <c r="A35" s="1">
        <v>575358</v>
      </c>
      <c r="B35" s="1" t="s">
        <v>256</v>
      </c>
      <c r="C35" s="90">
        <v>45728.473310185182</v>
      </c>
      <c r="D35" s="1" t="s">
        <v>246</v>
      </c>
      <c r="E35" s="1" t="s">
        <v>208</v>
      </c>
      <c r="F35" s="1" t="s">
        <v>193</v>
      </c>
      <c r="G35" s="1" t="s">
        <v>262</v>
      </c>
    </row>
    <row r="36" spans="1:7" x14ac:dyDescent="0.25">
      <c r="A36" s="1">
        <v>1637269</v>
      </c>
      <c r="B36" s="1" t="s">
        <v>230</v>
      </c>
      <c r="C36" s="90">
        <v>45728.552916666667</v>
      </c>
      <c r="D36" s="1" t="s">
        <v>206</v>
      </c>
      <c r="E36" s="1" t="s">
        <v>208</v>
      </c>
      <c r="F36" s="1" t="s">
        <v>189</v>
      </c>
      <c r="G36" s="1" t="s">
        <v>263</v>
      </c>
    </row>
    <row r="37" spans="1:7" x14ac:dyDescent="0.25">
      <c r="A37" s="1">
        <v>1670368</v>
      </c>
      <c r="B37" s="1" t="s">
        <v>269</v>
      </c>
      <c r="C37" s="90">
        <v>45728.582974537036</v>
      </c>
      <c r="D37" s="1" t="s">
        <v>264</v>
      </c>
      <c r="E37" s="1" t="s">
        <v>265</v>
      </c>
      <c r="F37" s="1" t="s">
        <v>193</v>
      </c>
      <c r="G37" s="1" t="s">
        <v>266</v>
      </c>
    </row>
    <row r="38" spans="1:7" x14ac:dyDescent="0.25">
      <c r="A38" s="1">
        <v>1574146</v>
      </c>
      <c r="B38" s="1" t="s">
        <v>223</v>
      </c>
      <c r="C38" s="90">
        <v>45719.575497685182</v>
      </c>
      <c r="D38" s="1" t="s">
        <v>16</v>
      </c>
      <c r="E38" s="1" t="s">
        <v>199</v>
      </c>
      <c r="F38" s="1" t="s">
        <v>12</v>
      </c>
    </row>
    <row r="39" spans="1:7" x14ac:dyDescent="0.25">
      <c r="A39" s="1">
        <v>1344695</v>
      </c>
      <c r="B39" s="1" t="s">
        <v>224</v>
      </c>
      <c r="C39" s="90">
        <v>45719.604907407411</v>
      </c>
      <c r="D39" s="1" t="s">
        <v>15</v>
      </c>
      <c r="E39" s="1" t="s">
        <v>208</v>
      </c>
      <c r="F39" s="1" t="s">
        <v>12</v>
      </c>
    </row>
    <row r="40" spans="1:7" x14ac:dyDescent="0.25">
      <c r="A40" s="1">
        <v>314064</v>
      </c>
      <c r="B40" s="1" t="s">
        <v>225</v>
      </c>
      <c r="C40" s="90">
        <v>45720.48510416667</v>
      </c>
      <c r="D40" s="1" t="s">
        <v>24</v>
      </c>
      <c r="E40" s="1" t="s">
        <v>218</v>
      </c>
      <c r="F40" s="1" t="s">
        <v>25</v>
      </c>
      <c r="G40" s="1" t="s">
        <v>26</v>
      </c>
    </row>
    <row r="41" spans="1:7" x14ac:dyDescent="0.25">
      <c r="A41" s="1">
        <v>1611218</v>
      </c>
      <c r="B41" s="1" t="s">
        <v>226</v>
      </c>
      <c r="C41" s="90">
        <v>45721.392754629633</v>
      </c>
      <c r="D41" s="1" t="s">
        <v>27</v>
      </c>
      <c r="E41" s="1" t="s">
        <v>218</v>
      </c>
      <c r="F41" s="1" t="s">
        <v>28</v>
      </c>
      <c r="G41" s="1" t="s">
        <v>29</v>
      </c>
    </row>
    <row r="42" spans="1:7" x14ac:dyDescent="0.25">
      <c r="A42" s="1">
        <v>1611218</v>
      </c>
      <c r="B42" s="1" t="s">
        <v>226</v>
      </c>
      <c r="C42" s="90">
        <v>45721.660717592589</v>
      </c>
      <c r="D42" s="1" t="s">
        <v>27</v>
      </c>
      <c r="E42" s="1" t="s">
        <v>30</v>
      </c>
      <c r="G42" s="1" t="s">
        <v>31</v>
      </c>
    </row>
    <row r="43" spans="1:7" x14ac:dyDescent="0.25">
      <c r="A43" s="1">
        <v>1602797</v>
      </c>
      <c r="B43" s="1" t="s">
        <v>227</v>
      </c>
      <c r="C43" s="90">
        <v>45722.660717592589</v>
      </c>
      <c r="D43" s="1" t="s">
        <v>173</v>
      </c>
      <c r="E43" s="1" t="s">
        <v>174</v>
      </c>
      <c r="G43" s="1" t="s">
        <v>175</v>
      </c>
    </row>
    <row r="44" spans="1:7" x14ac:dyDescent="0.25">
      <c r="A44" s="1">
        <v>1630171</v>
      </c>
      <c r="B44" s="1" t="s">
        <v>228</v>
      </c>
      <c r="C44" s="90">
        <v>45723.64234953704</v>
      </c>
      <c r="D44" s="1" t="s">
        <v>184</v>
      </c>
      <c r="E44" s="1" t="s">
        <v>242</v>
      </c>
      <c r="F44" s="1" t="s">
        <v>193</v>
      </c>
      <c r="G44" s="1" t="s">
        <v>194</v>
      </c>
    </row>
    <row r="45" spans="1:7" x14ac:dyDescent="0.25">
      <c r="A45" s="1">
        <v>1594927</v>
      </c>
      <c r="B45" s="1" t="s">
        <v>229</v>
      </c>
      <c r="C45" s="90">
        <v>45724.408958333333</v>
      </c>
      <c r="D45" s="1" t="s">
        <v>202</v>
      </c>
      <c r="E45" s="1" t="s">
        <v>218</v>
      </c>
      <c r="F45" s="1" t="s">
        <v>189</v>
      </c>
      <c r="G45" s="1" t="s">
        <v>204</v>
      </c>
    </row>
    <row r="46" spans="1:7" x14ac:dyDescent="0.25">
      <c r="A46" s="1">
        <v>1594927</v>
      </c>
      <c r="B46" s="1" t="s">
        <v>229</v>
      </c>
      <c r="C46" s="90">
        <v>45724.409722222219</v>
      </c>
      <c r="D46" s="1" t="s">
        <v>202</v>
      </c>
      <c r="E46" s="1" t="s">
        <v>218</v>
      </c>
      <c r="F46" s="1" t="s">
        <v>189</v>
      </c>
      <c r="G46" s="1" t="s">
        <v>204</v>
      </c>
    </row>
    <row r="47" spans="1:7" x14ac:dyDescent="0.25">
      <c r="A47" s="1">
        <v>1637269</v>
      </c>
      <c r="B47" s="1" t="s">
        <v>230</v>
      </c>
      <c r="C47" s="90">
        <v>45724.413391203707</v>
      </c>
      <c r="D47" s="1" t="s">
        <v>206</v>
      </c>
      <c r="E47" s="1" t="s">
        <v>208</v>
      </c>
      <c r="F47" s="1" t="s">
        <v>193</v>
      </c>
      <c r="G47" s="1" t="s">
        <v>207</v>
      </c>
    </row>
    <row r="48" spans="1:7" x14ac:dyDescent="0.25">
      <c r="A48" s="1">
        <v>1637269</v>
      </c>
      <c r="B48" s="1" t="s">
        <v>230</v>
      </c>
      <c r="C48" s="90">
        <v>45726.492523148147</v>
      </c>
      <c r="D48" s="1" t="s">
        <v>206</v>
      </c>
      <c r="E48" s="1" t="s">
        <v>208</v>
      </c>
      <c r="F48" s="1" t="s">
        <v>193</v>
      </c>
      <c r="G48" s="1" t="s">
        <v>220</v>
      </c>
    </row>
    <row r="49" spans="1:7" x14ac:dyDescent="0.25">
      <c r="A49" s="1">
        <v>1591725</v>
      </c>
      <c r="B49" s="1" t="s">
        <v>231</v>
      </c>
      <c r="C49" s="90">
        <v>45726.558148148149</v>
      </c>
      <c r="D49" s="1" t="s">
        <v>216</v>
      </c>
      <c r="E49" s="1" t="s">
        <v>199</v>
      </c>
      <c r="F49" s="1" t="s">
        <v>193</v>
      </c>
      <c r="G49" s="1" t="s">
        <v>221</v>
      </c>
    </row>
    <row r="50" spans="1:7" x14ac:dyDescent="0.25">
      <c r="A50" s="1">
        <v>1560288</v>
      </c>
      <c r="B50" s="1" t="s">
        <v>232</v>
      </c>
      <c r="C50" s="90">
        <v>45726.671678240738</v>
      </c>
      <c r="D50" s="1" t="s">
        <v>217</v>
      </c>
      <c r="E50" s="1" t="s">
        <v>208</v>
      </c>
      <c r="F50" s="1" t="s">
        <v>190</v>
      </c>
      <c r="G50" s="1" t="s">
        <v>222</v>
      </c>
    </row>
    <row r="51" spans="1:7" x14ac:dyDescent="0.25">
      <c r="A51" s="1">
        <v>1560288</v>
      </c>
      <c r="B51" s="1" t="s">
        <v>232</v>
      </c>
      <c r="C51" s="90">
        <v>45727.355358796296</v>
      </c>
      <c r="D51" s="1" t="s">
        <v>217</v>
      </c>
      <c r="E51" s="1" t="s">
        <v>208</v>
      </c>
      <c r="F51" s="1" t="s">
        <v>193</v>
      </c>
      <c r="G51" s="1" t="s">
        <v>233</v>
      </c>
    </row>
    <row r="52" spans="1:7" x14ac:dyDescent="0.25">
      <c r="A52" s="1">
        <v>1591725</v>
      </c>
      <c r="B52" s="1" t="s">
        <v>231</v>
      </c>
      <c r="C52" s="90">
        <v>45727.365555555552</v>
      </c>
      <c r="D52" s="1" t="s">
        <v>216</v>
      </c>
      <c r="E52" s="1" t="s">
        <v>208</v>
      </c>
      <c r="F52" s="1" t="s">
        <v>193</v>
      </c>
      <c r="G52" s="1" t="s">
        <v>235</v>
      </c>
    </row>
    <row r="53" spans="1:7" x14ac:dyDescent="0.25">
      <c r="A53" s="1">
        <v>1637269</v>
      </c>
      <c r="B53" s="1" t="s">
        <v>230</v>
      </c>
      <c r="C53" s="90">
        <v>45727.374490740738</v>
      </c>
      <c r="D53" s="1" t="s">
        <v>206</v>
      </c>
      <c r="E53" s="1" t="s">
        <v>208</v>
      </c>
      <c r="F53" s="1" t="s">
        <v>193</v>
      </c>
      <c r="G53" s="1" t="s">
        <v>234</v>
      </c>
    </row>
    <row r="54" spans="1:7" x14ac:dyDescent="0.25">
      <c r="A54" s="1">
        <v>1629776</v>
      </c>
      <c r="B54" s="1" t="s">
        <v>255</v>
      </c>
      <c r="C54" s="90">
        <v>45727.476030092592</v>
      </c>
      <c r="D54" s="1" t="s">
        <v>238</v>
      </c>
      <c r="E54" s="1" t="s">
        <v>199</v>
      </c>
      <c r="F54" s="1" t="s">
        <v>190</v>
      </c>
      <c r="G54" s="1" t="s">
        <v>240</v>
      </c>
    </row>
    <row r="55" spans="1:7" x14ac:dyDescent="0.25">
      <c r="A55" s="1">
        <v>1560288</v>
      </c>
      <c r="B55" s="1" t="s">
        <v>232</v>
      </c>
      <c r="C55" s="90">
        <v>45727.562349537038</v>
      </c>
      <c r="D55" s="1" t="s">
        <v>217</v>
      </c>
      <c r="E55" s="1" t="s">
        <v>199</v>
      </c>
      <c r="F55" s="1" t="s">
        <v>190</v>
      </c>
      <c r="G55" s="1" t="s">
        <v>244</v>
      </c>
    </row>
    <row r="56" spans="1:7" x14ac:dyDescent="0.25">
      <c r="A56" s="1">
        <v>1637269</v>
      </c>
      <c r="B56" s="1" t="s">
        <v>230</v>
      </c>
      <c r="C56" s="90">
        <v>45727.578125</v>
      </c>
      <c r="D56" s="1" t="s">
        <v>206</v>
      </c>
      <c r="E56" s="1" t="s">
        <v>208</v>
      </c>
      <c r="F56" s="1" t="s">
        <v>193</v>
      </c>
      <c r="G56" s="1" t="s">
        <v>245</v>
      </c>
    </row>
    <row r="57" spans="1:7" ht="75" x14ac:dyDescent="0.25">
      <c r="A57" s="1">
        <v>575358</v>
      </c>
      <c r="B57" s="1" t="s">
        <v>256</v>
      </c>
      <c r="C57" s="90">
        <v>45727.600590277776</v>
      </c>
      <c r="D57" s="1" t="s">
        <v>246</v>
      </c>
      <c r="E57" s="1" t="s">
        <v>208</v>
      </c>
      <c r="F57" s="1" t="s">
        <v>190</v>
      </c>
      <c r="G57" s="56" t="s">
        <v>247</v>
      </c>
    </row>
    <row r="58" spans="1:7" x14ac:dyDescent="0.25">
      <c r="A58" s="1">
        <v>1560288</v>
      </c>
      <c r="B58" s="1" t="s">
        <v>232</v>
      </c>
      <c r="C58" s="90">
        <v>45728.345277777778</v>
      </c>
      <c r="D58" s="1" t="s">
        <v>217</v>
      </c>
      <c r="E58" s="1" t="s">
        <v>208</v>
      </c>
      <c r="F58" s="1" t="s">
        <v>193</v>
      </c>
      <c r="G58" s="1" t="s">
        <v>233</v>
      </c>
    </row>
    <row r="59" spans="1:7" x14ac:dyDescent="0.25">
      <c r="A59" s="1">
        <v>1591725</v>
      </c>
      <c r="B59" s="1" t="s">
        <v>231</v>
      </c>
      <c r="C59" s="90">
        <v>45728.358912037038</v>
      </c>
      <c r="D59" s="1" t="s">
        <v>216</v>
      </c>
      <c r="E59" s="1" t="s">
        <v>199</v>
      </c>
      <c r="F59" s="1" t="s">
        <v>193</v>
      </c>
      <c r="G59" s="1" t="s">
        <v>233</v>
      </c>
    </row>
    <row r="60" spans="1:7" x14ac:dyDescent="0.25">
      <c r="A60" s="1">
        <v>1637269</v>
      </c>
      <c r="B60" s="1" t="s">
        <v>230</v>
      </c>
      <c r="C60" s="90">
        <v>45728.360729166663</v>
      </c>
      <c r="D60" s="1" t="s">
        <v>206</v>
      </c>
      <c r="E60" s="1" t="s">
        <v>181</v>
      </c>
      <c r="F60" s="1" t="s">
        <v>189</v>
      </c>
      <c r="G60" s="1" t="s">
        <v>257</v>
      </c>
    </row>
    <row r="61" spans="1:7" x14ac:dyDescent="0.25">
      <c r="A61" s="1">
        <v>1630171</v>
      </c>
      <c r="B61" s="1" t="s">
        <v>228</v>
      </c>
      <c r="C61" s="90">
        <v>45728.423148148147</v>
      </c>
      <c r="D61" s="1" t="s">
        <v>184</v>
      </c>
      <c r="E61" s="1" t="s">
        <v>242</v>
      </c>
      <c r="F61" s="1" t="s">
        <v>193</v>
      </c>
      <c r="G61" s="1" t="s">
        <v>260</v>
      </c>
    </row>
    <row r="62" spans="1:7" x14ac:dyDescent="0.25">
      <c r="A62" s="1">
        <v>575358</v>
      </c>
      <c r="B62" s="1" t="s">
        <v>256</v>
      </c>
      <c r="C62" s="90">
        <v>45728.473310185182</v>
      </c>
      <c r="D62" s="1" t="s">
        <v>246</v>
      </c>
      <c r="E62" s="1" t="s">
        <v>208</v>
      </c>
      <c r="F62" s="1" t="s">
        <v>193</v>
      </c>
      <c r="G62" s="1" t="s">
        <v>262</v>
      </c>
    </row>
    <row r="63" spans="1:7" x14ac:dyDescent="0.25">
      <c r="A63" s="1">
        <v>1637269</v>
      </c>
      <c r="B63" s="1" t="s">
        <v>230</v>
      </c>
      <c r="C63" s="90">
        <v>45728.552916666667</v>
      </c>
      <c r="D63" s="1" t="s">
        <v>206</v>
      </c>
      <c r="E63" s="1" t="s">
        <v>208</v>
      </c>
      <c r="F63" s="1" t="s">
        <v>189</v>
      </c>
      <c r="G63" s="1" t="s">
        <v>263</v>
      </c>
    </row>
    <row r="64" spans="1:7" ht="45" x14ac:dyDescent="0.25">
      <c r="A64" s="1">
        <v>1670368</v>
      </c>
      <c r="B64" s="1" t="s">
        <v>269</v>
      </c>
      <c r="C64" s="90">
        <v>45728.582974537036</v>
      </c>
      <c r="D64" s="1" t="s">
        <v>264</v>
      </c>
      <c r="E64" s="1" t="s">
        <v>265</v>
      </c>
      <c r="F64" s="1" t="s">
        <v>193</v>
      </c>
      <c r="G64" s="56" t="s">
        <v>266</v>
      </c>
    </row>
    <row r="65" spans="1:7" x14ac:dyDescent="0.25">
      <c r="A65" s="1">
        <v>1507309</v>
      </c>
      <c r="B65" s="1" t="s">
        <v>276</v>
      </c>
      <c r="C65" s="90">
        <v>45728.692569444444</v>
      </c>
      <c r="D65" s="1" t="s">
        <v>274</v>
      </c>
      <c r="E65" s="1" t="s">
        <v>181</v>
      </c>
      <c r="F65" s="1" t="s">
        <v>193</v>
      </c>
      <c r="G65" s="1" t="s">
        <v>275</v>
      </c>
    </row>
    <row r="66" spans="1:7" x14ac:dyDescent="0.25">
      <c r="C66" s="90"/>
    </row>
    <row r="67" spans="1:7" x14ac:dyDescent="0.25">
      <c r="C67" s="90"/>
    </row>
    <row r="68" spans="1:7" x14ac:dyDescent="0.25">
      <c r="C68" s="90"/>
    </row>
    <row r="69" spans="1:7" x14ac:dyDescent="0.25">
      <c r="C69" s="90"/>
    </row>
    <row r="70" spans="1:7" x14ac:dyDescent="0.25">
      <c r="C70" s="90"/>
    </row>
    <row r="71" spans="1:7" x14ac:dyDescent="0.25">
      <c r="C71" s="90"/>
    </row>
    <row r="72" spans="1:7" x14ac:dyDescent="0.25">
      <c r="C72" s="90"/>
    </row>
    <row r="73" spans="1:7" x14ac:dyDescent="0.25">
      <c r="C73" s="90"/>
    </row>
    <row r="74" spans="1:7" x14ac:dyDescent="0.25">
      <c r="C74" s="90"/>
    </row>
    <row r="75" spans="1:7" x14ac:dyDescent="0.25">
      <c r="C75" s="90"/>
    </row>
    <row r="76" spans="1:7" x14ac:dyDescent="0.25">
      <c r="C76" s="90"/>
      <c r="G76" s="56"/>
    </row>
    <row r="77" spans="1:7" x14ac:dyDescent="0.25">
      <c r="C77" s="90"/>
    </row>
    <row r="78" spans="1:7" x14ac:dyDescent="0.25">
      <c r="C78" s="90"/>
    </row>
    <row r="79" spans="1:7" x14ac:dyDescent="0.25">
      <c r="C79" s="90"/>
    </row>
    <row r="80" spans="1:7" x14ac:dyDescent="0.25">
      <c r="C80" s="90"/>
    </row>
    <row r="81" spans="3:7" x14ac:dyDescent="0.25">
      <c r="C81" s="90"/>
    </row>
    <row r="82" spans="3:7" x14ac:dyDescent="0.25">
      <c r="C82" s="90"/>
    </row>
    <row r="83" spans="3:7" x14ac:dyDescent="0.25">
      <c r="C83" s="90"/>
      <c r="G83" s="56"/>
    </row>
  </sheetData>
  <conditionalFormatting sqref="B7">
    <cfRule type="cellIs" dxfId="6" priority="3" operator="equal">
      <formula>""</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5</vt:i4>
      </vt:variant>
    </vt:vector>
  </HeadingPairs>
  <TitlesOfParts>
    <vt:vector size="5" baseType="lpstr">
      <vt:lpstr>Console</vt:lpstr>
      <vt:lpstr>Legend</vt:lpstr>
      <vt:lpstr>DataBase</vt:lpstr>
      <vt:lpstr>Feuil1</vt:lpstr>
      <vt:lpstr>Rappel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Yassine Daoui</dc:creator>
  <cp:lastModifiedBy>Yassine Daoui</cp:lastModifiedBy>
  <dcterms:created xsi:type="dcterms:W3CDTF">2025-03-05T20:13:38Z</dcterms:created>
  <dcterms:modified xsi:type="dcterms:W3CDTF">2025-03-13T00:58:09Z</dcterms:modified>
</cp:coreProperties>
</file>