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120" yWindow="-120" windowWidth="15510" windowHeight="8430"/>
  </bookViews>
  <sheets>
    <sheet name="Console" sheetId="1" r:id="rId1"/>
    <sheet name="Legend" sheetId="2" r:id="rId2"/>
    <sheet name="DataBase" sheetId="3" r:id="rId3"/>
    <sheet name="Feuil1" sheetId="4" r:id="rId4"/>
  </sheets>
  <externalReferences>
    <externalReference r:id="rId5"/>
  </externalReferences>
  <definedNames>
    <definedName name="_xlnm._FilterDatabase" localSheetId="2" hidden="1">DataBase!$A$10:$M$1629</definedName>
    <definedName name="_xlnm._FilterDatabase" localSheetId="3" hidden="1">Feuil1!$B$1:$F$248</definedName>
  </definedNames>
  <calcPr calcId="124519"/>
</workbook>
</file>

<file path=xl/calcChain.xml><?xml version="1.0" encoding="utf-8"?>
<calcChain xmlns="http://schemas.openxmlformats.org/spreadsheetml/2006/main">
  <c r="H18" i="1" a="1"/>
  <c r="H18" s="1"/>
  <c r="H19" a="1"/>
  <c r="H19" s="1"/>
  <c r="H17" a="1"/>
  <c r="H17" s="1"/>
  <c r="G18" a="1"/>
  <c r="G18" s="1"/>
  <c r="G19" a="1"/>
  <c r="G19" s="1"/>
  <c r="G17" a="1"/>
  <c r="G17" s="1"/>
  <c r="A22" i="3"/>
  <c r="B22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A62"/>
  <c r="B62"/>
  <c r="A63"/>
  <c r="B63"/>
  <c r="A64"/>
  <c r="B64"/>
  <c r="A65"/>
  <c r="B65"/>
  <c r="A66"/>
  <c r="B66"/>
  <c r="A67"/>
  <c r="B67"/>
  <c r="A68"/>
  <c r="B68"/>
  <c r="A69"/>
  <c r="B69"/>
  <c r="A70"/>
  <c r="B70"/>
  <c r="A71"/>
  <c r="B71"/>
  <c r="A72"/>
  <c r="B72"/>
  <c r="A73"/>
  <c r="B73"/>
  <c r="A74"/>
  <c r="B74"/>
  <c r="A75"/>
  <c r="B75"/>
  <c r="A76"/>
  <c r="B76"/>
  <c r="A77"/>
  <c r="B77"/>
  <c r="A78"/>
  <c r="B78"/>
  <c r="A79"/>
  <c r="B79"/>
  <c r="A80"/>
  <c r="B80"/>
  <c r="A81"/>
  <c r="B81"/>
  <c r="A82"/>
  <c r="B82"/>
  <c r="A83"/>
  <c r="B83"/>
  <c r="A84"/>
  <c r="B84"/>
  <c r="A85"/>
  <c r="B85"/>
  <c r="A86"/>
  <c r="B86"/>
  <c r="A87"/>
  <c r="B87"/>
  <c r="A88"/>
  <c r="B88"/>
  <c r="A89"/>
  <c r="B89"/>
  <c r="A90"/>
  <c r="B90"/>
  <c r="A91"/>
  <c r="B91"/>
  <c r="A92"/>
  <c r="B92"/>
  <c r="A93"/>
  <c r="B93"/>
  <c r="A94"/>
  <c r="B94"/>
  <c r="A95"/>
  <c r="B95"/>
  <c r="A96"/>
  <c r="B96"/>
  <c r="A97"/>
  <c r="B97"/>
  <c r="A98"/>
  <c r="B98"/>
  <c r="A99"/>
  <c r="B99"/>
  <c r="A100"/>
  <c r="B100"/>
  <c r="A101"/>
  <c r="B101"/>
  <c r="A102"/>
  <c r="B102"/>
  <c r="A103"/>
  <c r="B103"/>
  <c r="A104"/>
  <c r="B104"/>
  <c r="A105"/>
  <c r="B105"/>
  <c r="A106"/>
  <c r="B106"/>
  <c r="A107"/>
  <c r="B107"/>
  <c r="A108"/>
  <c r="B108"/>
  <c r="A109"/>
  <c r="B109"/>
  <c r="A110"/>
  <c r="B110"/>
  <c r="A111"/>
  <c r="B111"/>
  <c r="A112"/>
  <c r="B112"/>
  <c r="A113"/>
  <c r="B113"/>
  <c r="A114"/>
  <c r="B114"/>
  <c r="A115"/>
  <c r="B115"/>
  <c r="A116"/>
  <c r="B116"/>
  <c r="A117"/>
  <c r="B117"/>
  <c r="A118"/>
  <c r="B118"/>
  <c r="A119"/>
  <c r="B119"/>
  <c r="A120"/>
  <c r="B120"/>
  <c r="A121"/>
  <c r="B121"/>
  <c r="A122"/>
  <c r="B122"/>
  <c r="A123"/>
  <c r="B123"/>
  <c r="A124"/>
  <c r="B124"/>
  <c r="A125"/>
  <c r="B125"/>
  <c r="A126"/>
  <c r="B126"/>
  <c r="A127"/>
  <c r="B127"/>
  <c r="A128"/>
  <c r="B128"/>
  <c r="A129"/>
  <c r="B129"/>
  <c r="A130"/>
  <c r="B130"/>
  <c r="A131"/>
  <c r="B131"/>
  <c r="A132"/>
  <c r="B132"/>
  <c r="A133"/>
  <c r="B133"/>
  <c r="A134"/>
  <c r="B134"/>
  <c r="A135"/>
  <c r="B135"/>
  <c r="A136"/>
  <c r="B136"/>
  <c r="A137"/>
  <c r="B137"/>
  <c r="A138"/>
  <c r="B138"/>
  <c r="A139"/>
  <c r="B139"/>
  <c r="A140"/>
  <c r="B140"/>
  <c r="A141"/>
  <c r="B141"/>
  <c r="A142"/>
  <c r="B142"/>
  <c r="A143"/>
  <c r="B143"/>
  <c r="A144"/>
  <c r="B144"/>
  <c r="A145"/>
  <c r="B145"/>
  <c r="A146"/>
  <c r="B146"/>
  <c r="A147"/>
  <c r="B147"/>
  <c r="A148"/>
  <c r="B148"/>
  <c r="A149"/>
  <c r="B149"/>
  <c r="A150"/>
  <c r="B150"/>
  <c r="A151"/>
  <c r="B151"/>
  <c r="A152"/>
  <c r="B152"/>
  <c r="A153"/>
  <c r="B153"/>
  <c r="A154"/>
  <c r="B154"/>
  <c r="A155"/>
  <c r="B155"/>
  <c r="A156"/>
  <c r="B156"/>
  <c r="A157"/>
  <c r="B157"/>
  <c r="A158"/>
  <c r="B158"/>
  <c r="A159"/>
  <c r="B159"/>
  <c r="A160"/>
  <c r="B160"/>
  <c r="A161"/>
  <c r="B161"/>
  <c r="A162"/>
  <c r="B162"/>
  <c r="A163"/>
  <c r="B163"/>
  <c r="A164"/>
  <c r="B164"/>
  <c r="A165"/>
  <c r="B165"/>
  <c r="A166"/>
  <c r="B166"/>
  <c r="A167"/>
  <c r="B167"/>
  <c r="A168"/>
  <c r="B168"/>
  <c r="A169"/>
  <c r="B169"/>
  <c r="A170"/>
  <c r="B170"/>
  <c r="A171"/>
  <c r="B171"/>
  <c r="A172"/>
  <c r="B172"/>
  <c r="A173"/>
  <c r="B173"/>
  <c r="A174"/>
  <c r="B174"/>
  <c r="A175"/>
  <c r="B175"/>
  <c r="A176"/>
  <c r="B176"/>
  <c r="A177"/>
  <c r="B177"/>
  <c r="A178"/>
  <c r="B178"/>
  <c r="A179"/>
  <c r="B179"/>
  <c r="A180"/>
  <c r="B180"/>
  <c r="A181"/>
  <c r="B181"/>
  <c r="A182"/>
  <c r="B182"/>
  <c r="A183"/>
  <c r="B183"/>
  <c r="A184"/>
  <c r="B184"/>
  <c r="A185"/>
  <c r="B185"/>
  <c r="A186"/>
  <c r="B186"/>
  <c r="A187"/>
  <c r="B187"/>
  <c r="A188"/>
  <c r="B188"/>
  <c r="A189"/>
  <c r="B189"/>
  <c r="A190"/>
  <c r="B190"/>
  <c r="A191"/>
  <c r="B191"/>
  <c r="A192"/>
  <c r="B192"/>
  <c r="A193"/>
  <c r="B193"/>
  <c r="A194"/>
  <c r="B194"/>
  <c r="A195"/>
  <c r="B195"/>
  <c r="A196"/>
  <c r="B196"/>
  <c r="A197"/>
  <c r="B197"/>
  <c r="A198"/>
  <c r="B198"/>
  <c r="A199"/>
  <c r="B199"/>
  <c r="A200"/>
  <c r="B200"/>
  <c r="A201"/>
  <c r="B201"/>
  <c r="A202"/>
  <c r="B202"/>
  <c r="A203"/>
  <c r="B203"/>
  <c r="A204"/>
  <c r="B204"/>
  <c r="A205"/>
  <c r="B205"/>
  <c r="A206"/>
  <c r="B206"/>
  <c r="A207"/>
  <c r="B207"/>
  <c r="A208"/>
  <c r="B208"/>
  <c r="A209"/>
  <c r="B209"/>
  <c r="A210"/>
  <c r="B210"/>
  <c r="A211"/>
  <c r="B211"/>
  <c r="A212"/>
  <c r="B212"/>
  <c r="A213"/>
  <c r="B213"/>
  <c r="A214"/>
  <c r="B214"/>
  <c r="A215"/>
  <c r="B215"/>
  <c r="A216"/>
  <c r="B216"/>
  <c r="A217"/>
  <c r="B217"/>
  <c r="A218"/>
  <c r="B218"/>
  <c r="A219"/>
  <c r="B219"/>
  <c r="A220"/>
  <c r="B220"/>
  <c r="A221"/>
  <c r="B221"/>
  <c r="A222"/>
  <c r="B222"/>
  <c r="A223"/>
  <c r="B223"/>
  <c r="A224"/>
  <c r="B224"/>
  <c r="A225"/>
  <c r="B225"/>
  <c r="A226"/>
  <c r="B226"/>
  <c r="A227"/>
  <c r="B227"/>
  <c r="A228"/>
  <c r="B228"/>
  <c r="A229"/>
  <c r="B229"/>
  <c r="A230"/>
  <c r="B230"/>
  <c r="A231"/>
  <c r="B231"/>
  <c r="A232"/>
  <c r="B232"/>
  <c r="A233"/>
  <c r="B233"/>
  <c r="A234"/>
  <c r="B234"/>
  <c r="A235"/>
  <c r="B235"/>
  <c r="A236"/>
  <c r="B236"/>
  <c r="A237"/>
  <c r="B237"/>
  <c r="A238"/>
  <c r="B238"/>
  <c r="A239"/>
  <c r="B239"/>
  <c r="A240"/>
  <c r="B240"/>
  <c r="A241"/>
  <c r="B241"/>
  <c r="A242"/>
  <c r="B242"/>
  <c r="A243"/>
  <c r="B243"/>
  <c r="A244"/>
  <c r="B244"/>
  <c r="A245"/>
  <c r="B245"/>
  <c r="A246"/>
  <c r="B246"/>
  <c r="A247"/>
  <c r="B247"/>
  <c r="A248"/>
  <c r="B248"/>
  <c r="A249"/>
  <c r="B249"/>
  <c r="A250"/>
  <c r="B250"/>
  <c r="A251"/>
  <c r="B251"/>
  <c r="A252"/>
  <c r="B252"/>
  <c r="A253"/>
  <c r="B253"/>
  <c r="A254"/>
  <c r="B254"/>
  <c r="A255"/>
  <c r="B255"/>
  <c r="A256"/>
  <c r="B256"/>
  <c r="A257"/>
  <c r="B257"/>
  <c r="A258"/>
  <c r="B258"/>
  <c r="A259"/>
  <c r="B259"/>
  <c r="A260"/>
  <c r="B260"/>
  <c r="A261"/>
  <c r="B261"/>
  <c r="A262"/>
  <c r="B262"/>
  <c r="A263"/>
  <c r="B263"/>
  <c r="A264"/>
  <c r="B264"/>
  <c r="A265"/>
  <c r="B265"/>
  <c r="A266"/>
  <c r="B266"/>
  <c r="A267"/>
  <c r="B267"/>
  <c r="A268"/>
  <c r="B268"/>
  <c r="A269"/>
  <c r="B269"/>
  <c r="A270"/>
  <c r="B270"/>
  <c r="A271"/>
  <c r="B271"/>
  <c r="A272"/>
  <c r="B272"/>
  <c r="A273"/>
  <c r="B273"/>
  <c r="A274"/>
  <c r="B274"/>
  <c r="A275"/>
  <c r="B275"/>
  <c r="A276"/>
  <c r="B276"/>
  <c r="A277"/>
  <c r="B277"/>
  <c r="A278"/>
  <c r="B278"/>
  <c r="A279"/>
  <c r="B279"/>
  <c r="A280"/>
  <c r="B280"/>
  <c r="A281"/>
  <c r="B281"/>
  <c r="A282"/>
  <c r="B282"/>
  <c r="A283"/>
  <c r="B283"/>
  <c r="A284"/>
  <c r="B284"/>
  <c r="A285"/>
  <c r="B285"/>
  <c r="A286"/>
  <c r="B286"/>
  <c r="A287"/>
  <c r="B287"/>
  <c r="A288"/>
  <c r="B288"/>
  <c r="A289"/>
  <c r="B289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12"/>
  <c r="C13"/>
  <c r="C14"/>
  <c r="C15"/>
  <c r="C16"/>
  <c r="C17"/>
  <c r="C18"/>
  <c r="C19"/>
  <c r="C20"/>
  <c r="C21"/>
  <c r="C22"/>
  <c r="C23"/>
  <c r="C24"/>
  <c r="C25"/>
  <c r="G7" i="1"/>
  <c r="D31" s="1"/>
  <c r="H35" s="1" a="1"/>
  <c r="H35" s="1"/>
  <c r="C11" i="3"/>
  <c r="G1" i="1"/>
  <c r="H9" s="1"/>
  <c r="D12" i="3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1"/>
  <c r="D28" i="1"/>
  <c r="I28"/>
  <c r="G35" l="1" a="1"/>
  <c r="G35" s="1"/>
  <c r="E35" a="1"/>
  <c r="E35" s="1"/>
  <c r="F35" a="1"/>
  <c r="F35" s="1"/>
  <c r="H34" a="1"/>
  <c r="H34" s="1"/>
  <c r="G36" a="1"/>
  <c r="G36" s="1"/>
  <c r="G37" a="1"/>
  <c r="G37" s="1"/>
  <c r="G34" a="1"/>
  <c r="G34" s="1"/>
  <c r="G38" a="1"/>
  <c r="G38" s="1"/>
  <c r="E36" a="1"/>
  <c r="E36" s="1"/>
  <c r="E37" a="1"/>
  <c r="E37" s="1"/>
  <c r="E34" a="1"/>
  <c r="E34" s="1"/>
  <c r="E38" a="1"/>
  <c r="E38" s="1"/>
  <c r="D37" a="1"/>
  <c r="D37" s="1"/>
  <c r="H37" a="1"/>
  <c r="H37" s="1"/>
  <c r="D38" a="1"/>
  <c r="D38" s="1"/>
  <c r="F38" a="1"/>
  <c r="F38" s="1"/>
  <c r="H36" a="1"/>
  <c r="H36" s="1"/>
  <c r="F37" a="1"/>
  <c r="F37" s="1"/>
  <c r="H38" a="1"/>
  <c r="H38" s="1"/>
  <c r="F36" a="1"/>
  <c r="F36" s="1"/>
  <c r="D34" a="1"/>
  <c r="D34" s="1"/>
  <c r="D35" a="1"/>
  <c r="D35" s="1"/>
  <c r="D36" a="1"/>
  <c r="D36" s="1"/>
  <c r="F34" a="1"/>
  <c r="F34" s="1"/>
  <c r="E3"/>
  <c r="D248" i="4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6"/>
  <c r="D185"/>
  <c r="D184"/>
  <c r="D183"/>
  <c r="D182"/>
  <c r="D181"/>
  <c r="D179"/>
  <c r="D178"/>
  <c r="D177"/>
  <c r="D176"/>
  <c r="D175"/>
  <c r="D174"/>
  <c r="D173"/>
  <c r="D172"/>
  <c r="D171"/>
  <c r="D170"/>
  <c r="D169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3"/>
  <c r="D52"/>
  <c r="D51"/>
  <c r="D50"/>
  <c r="D49"/>
  <c r="D48"/>
  <c r="D47"/>
  <c r="D46"/>
  <c r="D45"/>
  <c r="D44"/>
  <c r="D43"/>
  <c r="D42"/>
  <c r="D41"/>
  <c r="D40"/>
  <c r="D38"/>
  <c r="D37"/>
  <c r="D36"/>
  <c r="D35"/>
  <c r="D34"/>
  <c r="D33"/>
  <c r="D32"/>
  <c r="D31"/>
  <c r="D30"/>
  <c r="D29"/>
  <c r="D28"/>
  <c r="D27"/>
  <c r="D26"/>
  <c r="D25"/>
  <c r="D24"/>
  <c r="D23"/>
  <c r="D22"/>
  <c r="D20"/>
  <c r="D19"/>
  <c r="D18"/>
  <c r="D16"/>
  <c r="D14"/>
  <c r="D12"/>
  <c r="D11"/>
  <c r="D9"/>
  <c r="D7"/>
  <c r="D5"/>
  <c r="D3"/>
  <c r="H28" i="1"/>
  <c r="G28"/>
  <c r="F28"/>
  <c r="E28"/>
  <c r="I8"/>
  <c r="H8"/>
  <c r="B21" i="3"/>
  <c r="A21"/>
  <c r="B20"/>
  <c r="A20"/>
  <c r="B19"/>
  <c r="A19"/>
  <c r="B18"/>
  <c r="A18"/>
  <c r="B17"/>
  <c r="A17"/>
  <c r="B16"/>
  <c r="A16"/>
  <c r="B15"/>
  <c r="A15"/>
  <c r="B14"/>
  <c r="A14"/>
  <c r="B13"/>
  <c r="A13"/>
  <c r="B12"/>
  <c r="A12"/>
  <c r="B11"/>
  <c r="A11"/>
  <c r="H1" i="1" l="1"/>
</calcChain>
</file>

<file path=xl/sharedStrings.xml><?xml version="1.0" encoding="utf-8"?>
<sst xmlns="http://schemas.openxmlformats.org/spreadsheetml/2006/main" count="353" uniqueCount="222">
  <si>
    <t>Date</t>
  </si>
  <si>
    <t>Ref :</t>
  </si>
  <si>
    <t>Num Fiche</t>
  </si>
  <si>
    <t>Heure</t>
  </si>
  <si>
    <t>Nom prénom</t>
  </si>
  <si>
    <t>Now</t>
  </si>
  <si>
    <t>Ref Contrat</t>
  </si>
  <si>
    <t>Contact</t>
  </si>
  <si>
    <t>Motif</t>
  </si>
  <si>
    <t>Resumé</t>
  </si>
  <si>
    <t>Action</t>
  </si>
  <si>
    <t>Commentaire</t>
  </si>
  <si>
    <t>Date_rappel</t>
  </si>
  <si>
    <t>Heure_Rappel</t>
  </si>
  <si>
    <t>Carte</t>
  </si>
  <si>
    <t>NRP</t>
  </si>
  <si>
    <t>Clôt</t>
  </si>
  <si>
    <t>revoir les garanties</t>
  </si>
  <si>
    <t>Appel</t>
  </si>
  <si>
    <t>Rappel</t>
  </si>
  <si>
    <t>Fiche N°1344695 - Sylvie CHANSIGAUD</t>
  </si>
  <si>
    <t>Fiche N°1574146 - Liliane MENTREL</t>
  </si>
  <si>
    <t>df</t>
  </si>
  <si>
    <t>Fiche N°881113 - Marie-pascale ARTON</t>
  </si>
  <si>
    <t>ecoute</t>
  </si>
  <si>
    <t>Traité</t>
  </si>
  <si>
    <t>ok</t>
  </si>
  <si>
    <t>Fiche N°1575397 - Dominique VIGUIER</t>
  </si>
  <si>
    <t>Ecoute</t>
  </si>
  <si>
    <t>Fiche N°314064 - Didier LE PARC</t>
  </si>
  <si>
    <t xml:space="preserve">Revoir le contrat </t>
  </si>
  <si>
    <t xml:space="preserve">Ai contacté l'assuré pour lui proposer un contrat il ma confirmé qu'il souhaite garder juste l'hospi et les soins ==&gt; je lui ai envoyer 3 formule et je programme un rappel </t>
  </si>
  <si>
    <t>Fiche N°1611218 - DANIELLE SCANTLEBURY</t>
  </si>
  <si>
    <t>Suivie</t>
  </si>
  <si>
    <t xml:space="preserve">Ai contacté l'assu mais elle est injoignable == un messgae est laisse </t>
  </si>
  <si>
    <t>Transfert standard</t>
  </si>
  <si>
    <t xml:space="preserve">un rappel est prévu après la collecte des informations </t>
  </si>
  <si>
    <t>Motif :</t>
  </si>
  <si>
    <t>Resumé :</t>
  </si>
  <si>
    <t>Commentaire :</t>
  </si>
  <si>
    <t>Ai contacté l'assuré dans le cadre de la compagne pour l'informer d'une augmentation mais il 'est injoignable je lui laisse un message sur le répondeur.</t>
  </si>
  <si>
    <t>CHAURIN JEAN LUC 1/5/2113%</t>
  </si>
  <si>
    <t xml:space="preserve">
Net Courtage Assurances - 3 avenue de l'épi 77540 Rozay en Brie
Votre conseiller : Remy GARAU
Tel agence : 09 88 99 48 01
Mail : lorine@ncassurances.com</t>
  </si>
  <si>
    <t>06 47 74 21 11</t>
  </si>
  <si>
    <t>MALATERRE RITA 10/5/2113%</t>
  </si>
  <si>
    <t>06 87 59 37 18</t>
  </si>
  <si>
    <t>CHAUCHAT FRANCOISE 19/05/202113%</t>
  </si>
  <si>
    <t>07 88 39 26 32</t>
  </si>
  <si>
    <t>COTTARD THERESE MA 1/6/2113%</t>
  </si>
  <si>
    <t>06 82 09 07 51</t>
  </si>
  <si>
    <t>DESSOYE MICHELE 1/6/2113%</t>
  </si>
  <si>
    <t>Introuvable</t>
  </si>
  <si>
    <t>06 15 76 23 95</t>
  </si>
  <si>
    <t>MICHEL GILLES 1/6/2113%</t>
  </si>
  <si>
    <t>06 99 77 50 88</t>
  </si>
  <si>
    <t>RENAULT BERNARD 10/6/2113%</t>
  </si>
  <si>
    <t>06 11 01 72 21
SCHNEIDER GERARD 1/3/22
13%</t>
  </si>
  <si>
    <t>06 17 31 29 97</t>
  </si>
  <si>
    <t>BERTHONNEAU CHRISTIAN 15/03/202217%</t>
  </si>
  <si>
    <t>06 88 12 30 31
MUNYANKINDI PATRICIA 23/03/2022
13%</t>
  </si>
  <si>
    <t xml:space="preserve">
06 83 29 04 45
CIANFARANI CHARLES AN 10/4/22
13%</t>
  </si>
  <si>
    <t>06 30 03 73 16
CHERI A.FRANCE 1/6/22
13%</t>
  </si>
  <si>
    <t>06 88 73 02 81
GRANDIN JACQUELINE 1/3/23
13%</t>
  </si>
  <si>
    <t>06 16 03 20 23
AUGUET PATRICK GE 14/03/2023
13%</t>
  </si>
  <si>
    <t>07 88 98 65 37
CHEDAL MIREILLE 1/4/23
13%</t>
  </si>
  <si>
    <t>06 20 01 62 43
TERFOUS AHMED 1/4/23
13%</t>
  </si>
  <si>
    <t>07 64 47 53 16
COUSIN CLAUDE 1/5/23
13%</t>
  </si>
  <si>
    <t>06 99 90 59 62
DECINA SERGE 1/5/23
13%</t>
  </si>
  <si>
    <t xml:space="preserve">Joignable mais il a résilier </t>
  </si>
  <si>
    <t>06 65 45 26 69
HALLAIS JEAN MARC 1/5/23
13%</t>
  </si>
  <si>
    <t>06 16 87 31 97
PALANQUE DENIS 10/5/23
13%</t>
  </si>
  <si>
    <t xml:space="preserve">contrat résilié </t>
  </si>
  <si>
    <t xml:space="preserve"> revoir </t>
  </si>
  <si>
    <t>06 26 43 07 04
BRACONNIER JEAN PIERR 1/6/23
13%</t>
  </si>
  <si>
    <t>06 84 57 02 27
DONINEAUX MARIE JOSE 1/6/23
17%</t>
  </si>
  <si>
    <t>06 61 78 36 52
DUMENIL ANNE-MARIE 1/6/23
13%</t>
  </si>
  <si>
    <t>06 22 11 88 75
NEVEUX DENIS 1/6/23
13%</t>
  </si>
  <si>
    <t>06 43 51 75 75
PONT FRANCOISE 1/6/23
13%</t>
  </si>
  <si>
    <t>Appel a rfazire</t>
  </si>
  <si>
    <t>OK</t>
  </si>
  <si>
    <t>06 64 23 14 31
ZERIOUH SALEM 1/6/23
17%</t>
  </si>
  <si>
    <t>06 16 47 62 74
PARISI DOMINIQUE 19/06/2023
13%</t>
  </si>
  <si>
    <t xml:space="preserve">Dentaire </t>
  </si>
  <si>
    <t xml:space="preserve">philipine,parisi@laposte.net </t>
  </si>
  <si>
    <t>philipine,parisi@sfr.fr</t>
  </si>
  <si>
    <t xml:space="preserve">Identifiant </t>
  </si>
  <si>
    <t>06 18 18 74 87
DUARTENUNES MARIA 1/3/24
17%</t>
  </si>
  <si>
    <t>07 77 95 76 06
DUVALLE GERMAINE 1/3/24
13%</t>
  </si>
  <si>
    <t>06 32 40 67 80
MANGIN MICHEL 1/3/24
13%</t>
  </si>
  <si>
    <t>07 50 96 60 98
SIBAHI SOMAH FRAN 5/3/24
13%</t>
  </si>
  <si>
    <t xml:space="preserve">OK </t>
  </si>
  <si>
    <t>06 58 03 04 25
MAUVAIS ARMELLE 8/3/24
13%</t>
  </si>
  <si>
    <t>06 61 19 88 44
LEVANT ELISABETH 10/3/24
13%</t>
  </si>
  <si>
    <r>
      <t xml:space="preserve">06 07 78 91 02     </t>
    </r>
    <r>
      <rPr>
        <sz val="22"/>
        <color rgb="FFFF0000"/>
        <rFont val="Aptos Narrow"/>
        <scheme val="minor"/>
      </rPr>
      <t xml:space="preserve"> 09 88 99 48 01</t>
    </r>
  </si>
  <si>
    <t>06 13 61 33 20
MAZUIR CLAUDE 10/3/24
17%</t>
  </si>
  <si>
    <t>06 07 74 08 46
PINAGOT BERNARD 10/3/24
13%</t>
  </si>
  <si>
    <t>06 85 13 63 62
BARRAUD ALEXANDRIN 11/3/24
13%</t>
  </si>
  <si>
    <t>06 48 36 84 23
AINOUZ ELIE 15/03/2024
13%</t>
  </si>
  <si>
    <t>06 28 76 61 21  0637944381
MOYA ANDRE 23/03/2024
13%</t>
  </si>
  <si>
    <t>06 95 60 71 44
AMAOUCHE MESSAOUDA 1/4/24
13%</t>
  </si>
  <si>
    <t>06 85 15 05 46
CLARISSE YVES 1/4/24
13%</t>
  </si>
  <si>
    <t>07 87 24 17 54
CLAUDEL HUBERT 1/4/24
13%</t>
  </si>
  <si>
    <t>06 58 42 91 50
CROSNIER ROGER 1/4/24
13%</t>
  </si>
  <si>
    <t>07 83 34 13 70
CROUZET ALAIN 1/4/24
13%</t>
  </si>
  <si>
    <t>06 26 40 83 58
DEALMEIDA ANA MARIA 1/4/24
13%</t>
  </si>
  <si>
    <t>06 24 22 87 39
DELEAGE ALAIN 1/4/24
13%</t>
  </si>
  <si>
    <t>06 17 52 46 40
DUCLOYER BERNARD 1/4/24
13%</t>
  </si>
  <si>
    <t>refus</t>
  </si>
  <si>
    <t>06 61 62 32 17
ELKEFI MONCEF 1/4/24
13%</t>
  </si>
  <si>
    <t>ko</t>
  </si>
  <si>
    <t>07 83 26 13 54
ELKHALFI BRAHIM 1/4/24
17%</t>
  </si>
  <si>
    <t>06 98 85 40 09
HILAIRE JEAN 1/4/24
13%</t>
  </si>
  <si>
    <t>06 50 72 80 72
KABEYA BIN 1/4/24
13%</t>
  </si>
  <si>
    <t>06 84 18 15 83
LECANN DANIELLE 1/4/24
13%</t>
  </si>
  <si>
    <t>06 84 38 55 07
LENFANT DOMINIQUE 1/4/24
17%</t>
  </si>
  <si>
    <t>06 13 95 29 34
LUXIMON BEEMAH 1/4/24
13%</t>
  </si>
  <si>
    <t>06 41 80 75 68
MARTIN JEAN LOUIS 1/4/24
13%</t>
  </si>
  <si>
    <t>06 21 03 99 10
MEDKOUR AMAR 1/4/24
13%</t>
  </si>
  <si>
    <t xml:space="preserve">resiliation réclamé rappel prévu </t>
  </si>
  <si>
    <t>06 50 71 46 59
NUBUL PHILIPPE 1/4/24
13%</t>
  </si>
  <si>
    <t>06 84 96 12 65
OLLIVIER CLAUDE 1/4/24
13%</t>
  </si>
  <si>
    <t>06 24 62 00 48
PAUPERT LOUISETTE 1/4/24
13%</t>
  </si>
  <si>
    <t>06 61 86 15 67
PENSEDENT MICHELINE 1/4/24
13%</t>
  </si>
  <si>
    <t>06 29 30 83 90
SAUVAGE NELLY 1/4/24
13%</t>
  </si>
  <si>
    <t>33 bis avenu generale degaule 94420</t>
  </si>
  <si>
    <t xml:space="preserve">mail a envoyer avec le num de téléphone </t>
  </si>
  <si>
    <t>07 69 44 64 28
HAMITOUCHE MOURAD 6/4/24
13%</t>
  </si>
  <si>
    <t>07 67 11 10 15
PONT ALAIN 9/4/24
17%</t>
  </si>
  <si>
    <t xml:space="preserve">resiliation en cours </t>
  </si>
  <si>
    <t>06 46 84 78 46
FOURNIVAL SYLVIE 10/4/24
13%</t>
  </si>
  <si>
    <t>06 84 66 33 96
CARIO ROGER 11/4/24
13%</t>
  </si>
  <si>
    <t>07 48 10 60 59
BOEYINGA ANNEKE 12/4/24
13%</t>
  </si>
  <si>
    <t>06 44 25 96 30
MAUBECHE JEAN PIERR 12/4/24
13%</t>
  </si>
  <si>
    <t>06 62 89 08 69
ANGLARD JACQUELINE 22/04/2024
13%</t>
  </si>
  <si>
    <t>06 70 35 64 24
PEYROT CHRISTIAN 22/04/2024
13%</t>
  </si>
  <si>
    <t xml:space="preserve">a rappler </t>
  </si>
  <si>
    <t xml:space="preserve"> arappler demain pour voir si il sera remboursé pour le ddentaire </t>
  </si>
  <si>
    <t>06 26 85 75 78
BELHARRAT YOUCEF 1/5/24
13%</t>
  </si>
  <si>
    <t>06 07 87 56 35
BONNIER SOLANGE 1/5/24
13%</t>
  </si>
  <si>
    <t>06 16 35 45 37
COHEN FRANCOISE 1/5/24
13%</t>
  </si>
  <si>
    <t>06 42 17 40 09
DAUCHY JULES 1/5/24
13%</t>
  </si>
  <si>
    <t>06 61 58 16 45
DENIZE MICHELE 1/5/24
13%</t>
  </si>
  <si>
    <t>07 64 17 12 32
DETEVE EDOUARD 1/5/24
13%</t>
  </si>
  <si>
    <t>06 43 34 18 51
ENAULT ERIC 1/5/24
13%</t>
  </si>
  <si>
    <t>Coordonnée</t>
  </si>
  <si>
    <t xml:space="preserve">Num de téléphone </t>
  </si>
  <si>
    <t xml:space="preserve">Statut </t>
  </si>
  <si>
    <t>a revoir</t>
  </si>
  <si>
    <t>06 87 04 14 19
LELEU JEAN PIERRE 17/06/2021
13%</t>
  </si>
  <si>
    <t>06 98 27 52 47 VEYRENC RENEE 1/6/23
13%</t>
  </si>
  <si>
    <t>LELEU JEAN PIERRE</t>
  </si>
  <si>
    <t>VEYRENC RENEE</t>
  </si>
  <si>
    <t>SIBAHI SOMAH FRAN</t>
  </si>
  <si>
    <t>ELKEFI MONCEF</t>
  </si>
  <si>
    <t>NUBUL PHILIPPE</t>
  </si>
  <si>
    <t>HAMITOUCHE MOURAD</t>
  </si>
  <si>
    <t>CARIO ROGER</t>
  </si>
  <si>
    <t>MAUBECHE JEAN PIER</t>
  </si>
  <si>
    <t>DENIZE MICHELE</t>
  </si>
  <si>
    <t xml:space="preserve">06 87 04 14 19
</t>
  </si>
  <si>
    <t xml:space="preserve">06 98 27 52 47 </t>
  </si>
  <si>
    <t xml:space="preserve">07 50 96 60 98
</t>
  </si>
  <si>
    <t xml:space="preserve">06 61 62 32 17
</t>
  </si>
  <si>
    <t xml:space="preserve">06 50 71 46 59
</t>
  </si>
  <si>
    <t xml:space="preserve">07 69 44 64 28
</t>
  </si>
  <si>
    <t xml:space="preserve">06 84 66 33 96
</t>
  </si>
  <si>
    <t xml:space="preserve">06 44 25 96 30
</t>
  </si>
  <si>
    <t xml:space="preserve">06 61 58 16 45
</t>
  </si>
  <si>
    <t>Résilié</t>
  </si>
  <si>
    <t>SMGDCOV11744-1</t>
  </si>
  <si>
    <t xml:space="preserve">Ai contacté l'assu pour l'informer d'un emajoration de 15 % </t>
  </si>
  <si>
    <t>Contrat</t>
  </si>
  <si>
    <t>A aappeler</t>
  </si>
  <si>
    <t>F908000202846</t>
  </si>
  <si>
    <t xml:space="preserve"> SMGDCOV23721-1</t>
  </si>
  <si>
    <t>SMGDCOV18417-1</t>
  </si>
  <si>
    <t>repondeur</t>
  </si>
  <si>
    <t>SMGDCOV19926-1</t>
  </si>
  <si>
    <t>Rpondeur</t>
  </si>
  <si>
    <t>Fiche N°1602797 - Somah françoise SIBAHI</t>
  </si>
  <si>
    <t>Compagne</t>
  </si>
  <si>
    <t>il demande etre rappler selon un relanec</t>
  </si>
  <si>
    <t>Fiche N°1599457 - MARIA DUARTE NUNES</t>
  </si>
  <si>
    <t>Mail</t>
  </si>
  <si>
    <t xml:space="preserve">Ai rappelé l'assuré suite a sa demande mais il conteste juste le fait de ne pas être  informer </t>
  </si>
  <si>
    <t>gomes</t>
  </si>
  <si>
    <t>AMM</t>
  </si>
  <si>
    <t xml:space="preserve">Appel reçu </t>
  </si>
  <si>
    <t xml:space="preserve">augmentation </t>
  </si>
  <si>
    <t>Fiche N°1703273 - Christian PEYROT</t>
  </si>
  <si>
    <t xml:space="preserve">Assu informé de l'augmentation </t>
  </si>
  <si>
    <t>Fiche N°1630171 - Micheline TARTAG</t>
  </si>
  <si>
    <t>Fiche N°1523857 - Mhajbi ABDELKEFI</t>
  </si>
  <si>
    <t>compagne</t>
  </si>
  <si>
    <t>Fiche N°1599940 - Jean pierre MAUBECHE</t>
  </si>
  <si>
    <t>Fiche N°1614649 - Philippe NUBUL</t>
  </si>
  <si>
    <t xml:space="preserve">1716909  avat de le faire </t>
  </si>
  <si>
    <t xml:space="preserve">Explication </t>
  </si>
  <si>
    <t xml:space="preserve">Reclamation </t>
  </si>
  <si>
    <t xml:space="preserve">Injoignable </t>
  </si>
  <si>
    <t xml:space="preserve">assu injoignable </t>
  </si>
  <si>
    <t>Point a refaire</t>
  </si>
  <si>
    <t>joignable</t>
  </si>
  <si>
    <t>Ai contacté l'Assuré pour un recueille de besoin ==&gt; Optique ==&gt; Dentaire =&gt; Auditif ==&gt; Je lui ai expliqué le principe et je lui envoie les deux devis plus avantageux.Elle va réfléchir et nous rappeler après.</t>
  </si>
  <si>
    <t>Fiche N°1625831 - Danielle DELRIEU</t>
  </si>
  <si>
    <t xml:space="preserve">Prévu pour lundi matin </t>
  </si>
  <si>
    <t>Fiche N°1503385 - DOMINIQUE DUBOIS</t>
  </si>
  <si>
    <t>Source :</t>
  </si>
  <si>
    <t>Standard-Murielle</t>
  </si>
  <si>
    <t>Assuré-Mail</t>
  </si>
  <si>
    <t xml:space="preserve">Demande d'explication ==&gt; </t>
  </si>
  <si>
    <t>A rappeler</t>
  </si>
  <si>
    <t>Fiche N°1594927 - Michel MANGIN</t>
  </si>
  <si>
    <t xml:space="preserve">A Contacter </t>
  </si>
  <si>
    <t xml:space="preserve">Client demande a ce qu on l appel </t>
  </si>
  <si>
    <t>Historique</t>
  </si>
  <si>
    <t>Fiche N°1637269 - Serge COULON</t>
  </si>
  <si>
    <t>Monsieur Coulon demande à être rappelé pour revoir son contrat, car il souhaite ajouter l'option optique dans sa mutuelle.</t>
  </si>
  <si>
    <t>Standard-Maeva</t>
  </si>
  <si>
    <t>Appel -</t>
  </si>
  <si>
    <t xml:space="preserve">AI contacté l'assuré pour mettre le point sur l'ajout d'optique sur le contrat ==&gt; il va faire un devis aprs il nous envoie pour mettre en place une garantie </t>
  </si>
  <si>
    <t xml:space="preserve">Ai contacté l'assu qui m'a confirmer qu’il veut plus de contrat et il a déjà fait opposition sur le compte </t>
  </si>
</sst>
</file>

<file path=xl/styles.xml><?xml version="1.0" encoding="utf-8"?>
<styleSheet xmlns="http://schemas.openxmlformats.org/spreadsheetml/2006/main">
  <numFmts count="4">
    <numFmt numFmtId="164" formatCode="[$-F800]dddd\,\ mmmm\ dd\,\ yyyy"/>
    <numFmt numFmtId="165" formatCode="[$-F400]h:mm:ss\ AM/PM"/>
    <numFmt numFmtId="166" formatCode="0#&quot; &quot;##&quot; &quot;##&quot; &quot;##&quot; &quot;##"/>
    <numFmt numFmtId="167" formatCode="h:mm;@"/>
  </numFmts>
  <fonts count="15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3" tint="-0.499984740745262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scheme val="minor"/>
    </font>
    <font>
      <b/>
      <i/>
      <sz val="11"/>
      <color theme="1"/>
      <name val="Aptos Narrow"/>
      <scheme val="minor"/>
    </font>
    <font>
      <sz val="22"/>
      <color rgb="FFFF0000"/>
      <name val="Aptos Narrow"/>
      <scheme val="minor"/>
    </font>
    <font>
      <b/>
      <sz val="11"/>
      <color theme="4" tint="-0.499984740745262"/>
      <name val="Aptos Narrow"/>
      <scheme val="minor"/>
    </font>
    <font>
      <sz val="11"/>
      <color theme="0"/>
      <name val="Aptos Narrow"/>
      <family val="2"/>
      <scheme val="minor"/>
    </font>
    <font>
      <b/>
      <sz val="11"/>
      <color rgb="FFFF0000"/>
      <name val="Aptos Narrow"/>
      <scheme val="minor"/>
    </font>
    <font>
      <b/>
      <sz val="11"/>
      <color theme="3" tint="0.249977111117893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b/>
      <sz val="11"/>
      <color rgb="FFCC0000"/>
      <name val="Aptos Narrow"/>
      <family val="2"/>
      <scheme val="minor"/>
    </font>
    <font>
      <b/>
      <sz val="8"/>
      <color theme="2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4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4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/>
    <xf numFmtId="0" fontId="0" fillId="3" borderId="0" xfId="0" applyFill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4" borderId="0" xfId="0" applyFill="1"/>
    <xf numFmtId="0" fontId="0" fillId="2" borderId="0" xfId="0" applyFill="1" applyAlignment="1">
      <alignment horizontal="center" vertical="center" wrapText="1"/>
    </xf>
    <xf numFmtId="0" fontId="4" fillId="0" borderId="0" xfId="0" applyFont="1"/>
    <xf numFmtId="20" fontId="0" fillId="0" borderId="0" xfId="0" applyNumberFormat="1" applyAlignment="1">
      <alignment wrapText="1"/>
    </xf>
    <xf numFmtId="0" fontId="0" fillId="4" borderId="2" xfId="0" applyFill="1" applyBorder="1" applyAlignment="1">
      <alignment horizontal="center" vertical="center" wrapText="1"/>
    </xf>
    <xf numFmtId="0" fontId="8" fillId="4" borderId="0" xfId="0" applyFont="1" applyFill="1" applyAlignment="1">
      <alignment wrapText="1"/>
    </xf>
    <xf numFmtId="0" fontId="8" fillId="4" borderId="0" xfId="0" applyFont="1" applyFill="1"/>
    <xf numFmtId="0" fontId="0" fillId="2" borderId="0" xfId="0" applyFill="1" applyAlignment="1">
      <alignment wrapText="1"/>
    </xf>
    <xf numFmtId="0" fontId="0" fillId="5" borderId="0" xfId="0" applyFill="1" applyAlignment="1">
      <alignment horizontal="center"/>
    </xf>
    <xf numFmtId="0" fontId="9" fillId="5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4" fontId="6" fillId="0" borderId="0" xfId="0" applyNumberFormat="1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right"/>
    </xf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14" fontId="1" fillId="0" borderId="0" xfId="0" applyNumberFormat="1" applyFont="1" applyFill="1" applyAlignment="1">
      <alignment horizontal="center"/>
    </xf>
    <xf numFmtId="167" fontId="1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horizontal="right" vertical="top"/>
    </xf>
    <xf numFmtId="0" fontId="0" fillId="0" borderId="0" xfId="0" applyFill="1" applyAlignment="1">
      <alignment horizontal="center" vertical="center"/>
    </xf>
    <xf numFmtId="164" fontId="0" fillId="0" borderId="0" xfId="0" applyNumberForma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7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0" fontId="12" fillId="8" borderId="1" xfId="0" applyFont="1" applyFill="1" applyBorder="1" applyAlignment="1">
      <alignment horizontal="center"/>
    </xf>
    <xf numFmtId="0" fontId="12" fillId="8" borderId="0" xfId="0" applyFont="1" applyFill="1" applyAlignment="1">
      <alignment horizontal="center"/>
    </xf>
    <xf numFmtId="166" fontId="12" fillId="8" borderId="0" xfId="0" applyNumberFormat="1" applyFont="1" applyFill="1" applyAlignment="1">
      <alignment horizontal="center"/>
    </xf>
    <xf numFmtId="166" fontId="1" fillId="7" borderId="0" xfId="0" applyNumberFormat="1" applyFont="1" applyFill="1" applyAlignment="1">
      <alignment horizontal="center" vertical="center"/>
    </xf>
    <xf numFmtId="14" fontId="0" fillId="0" borderId="0" xfId="0" applyNumberFormat="1" applyFill="1" applyAlignment="1">
      <alignment horizontal="center"/>
    </xf>
    <xf numFmtId="164" fontId="12" fillId="8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13" fillId="9" borderId="0" xfId="0" applyFont="1" applyFill="1" applyAlignment="1">
      <alignment horizontal="center" vertical="top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 wrapText="1"/>
    </xf>
    <xf numFmtId="164" fontId="12" fillId="10" borderId="0" xfId="0" applyNumberFormat="1" applyFont="1" applyFill="1" applyAlignment="1">
      <alignment horizontal="center"/>
    </xf>
    <xf numFmtId="166" fontId="12" fillId="10" borderId="0" xfId="0" applyNumberFormat="1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14" fillId="8" borderId="0" xfId="0" applyNumberFormat="1" applyFont="1" applyFill="1" applyAlignment="1">
      <alignment horizontal="center" vertical="center"/>
    </xf>
    <xf numFmtId="166" fontId="14" fillId="10" borderId="0" xfId="0" applyNumberFormat="1" applyFont="1" applyFill="1" applyAlignment="1">
      <alignment horizontal="center" vertical="center"/>
    </xf>
    <xf numFmtId="0" fontId="14" fillId="8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0000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</xdr:row>
      <xdr:rowOff>57150</xdr:rowOff>
    </xdr:from>
    <xdr:to>
      <xdr:col>3</xdr:col>
      <xdr:colOff>771525</xdr:colOff>
      <xdr:row>2</xdr:row>
      <xdr:rowOff>152400</xdr:rowOff>
    </xdr:to>
    <xdr:sp macro="[0]!Cons" textlink="">
      <xdr:nvSpPr>
        <xdr:cNvPr id="2" name="Rectangle : coins arrondis 1">
          <a:extLst>
            <a:ext uri="{FF2B5EF4-FFF2-40B4-BE49-F238E27FC236}">
              <a16:creationId xmlns="" xmlns:a16="http://schemas.microsoft.com/office/drawing/2014/main" id="{083D7A5C-FAF8-3DF9-8203-AD610568F50B}"/>
            </a:ext>
          </a:extLst>
        </xdr:cNvPr>
        <xdr:cNvSpPr/>
      </xdr:nvSpPr>
      <xdr:spPr>
        <a:xfrm>
          <a:off x="304800" y="257175"/>
          <a:ext cx="156210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200" b="1">
              <a:solidFill>
                <a:schemeClr val="bg2"/>
              </a:solidFill>
            </a:rPr>
            <a:t>Console</a:t>
          </a:r>
        </a:p>
      </xdr:txBody>
    </xdr:sp>
    <xdr:clientData/>
  </xdr:twoCellAnchor>
  <xdr:twoCellAnchor>
    <xdr:from>
      <xdr:col>4</xdr:col>
      <xdr:colOff>190500</xdr:colOff>
      <xdr:row>18</xdr:row>
      <xdr:rowOff>142874</xdr:rowOff>
    </xdr:from>
    <xdr:to>
      <xdr:col>4</xdr:col>
      <xdr:colOff>1352550</xdr:colOff>
      <xdr:row>20</xdr:row>
      <xdr:rowOff>95249</xdr:rowOff>
    </xdr:to>
    <xdr:sp macro="[0]!CopierLigneVersAutreFeuille" textlink="">
      <xdr:nvSpPr>
        <xdr:cNvPr id="3" name="Rectangle à coins arrondis 2"/>
        <xdr:cNvSpPr/>
      </xdr:nvSpPr>
      <xdr:spPr>
        <a:xfrm>
          <a:off x="2247900" y="4276724"/>
          <a:ext cx="1162050" cy="3143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100"/>
            <a:t>Enregistrer</a:t>
          </a:r>
        </a:p>
      </xdr:txBody>
    </xdr:sp>
    <xdr:clientData/>
  </xdr:twoCellAnchor>
  <xdr:twoCellAnchor>
    <xdr:from>
      <xdr:col>4</xdr:col>
      <xdr:colOff>1609725</xdr:colOff>
      <xdr:row>18</xdr:row>
      <xdr:rowOff>142874</xdr:rowOff>
    </xdr:from>
    <xdr:to>
      <xdr:col>4</xdr:col>
      <xdr:colOff>2771775</xdr:colOff>
      <xdr:row>20</xdr:row>
      <xdr:rowOff>95249</xdr:rowOff>
    </xdr:to>
    <xdr:sp macro="[1]!CopierLigneVersAutreFeuille" textlink="">
      <xdr:nvSpPr>
        <xdr:cNvPr id="4" name="Rectangle à coins arrondis 3"/>
        <xdr:cNvSpPr/>
      </xdr:nvSpPr>
      <xdr:spPr>
        <a:xfrm>
          <a:off x="3667125" y="4276724"/>
          <a:ext cx="1162050" cy="3143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  <xdr:twoCellAnchor>
    <xdr:from>
      <xdr:col>5</xdr:col>
      <xdr:colOff>104775</xdr:colOff>
      <xdr:row>6</xdr:row>
      <xdr:rowOff>9524</xdr:rowOff>
    </xdr:from>
    <xdr:to>
      <xdr:col>5</xdr:col>
      <xdr:colOff>342900</xdr:colOff>
      <xdr:row>7</xdr:row>
      <xdr:rowOff>9524</xdr:rowOff>
    </xdr:to>
    <xdr:sp macro="[0]!Ref_Dossier" textlink="">
      <xdr:nvSpPr>
        <xdr:cNvPr id="5" name="Rectangle à coins arrondis 4"/>
        <xdr:cNvSpPr/>
      </xdr:nvSpPr>
      <xdr:spPr>
        <a:xfrm>
          <a:off x="5153025" y="1104899"/>
          <a:ext cx="238125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5</xdr:col>
      <xdr:colOff>95250</xdr:colOff>
      <xdr:row>12</xdr:row>
      <xdr:rowOff>0</xdr:rowOff>
    </xdr:from>
    <xdr:to>
      <xdr:col>5</xdr:col>
      <xdr:colOff>333375</xdr:colOff>
      <xdr:row>13</xdr:row>
      <xdr:rowOff>9525</xdr:rowOff>
    </xdr:to>
    <xdr:sp macro="[0]!Num_Tel" textlink="">
      <xdr:nvSpPr>
        <xdr:cNvPr id="6" name="Rectangle à coins arrondis 5"/>
        <xdr:cNvSpPr/>
      </xdr:nvSpPr>
      <xdr:spPr>
        <a:xfrm>
          <a:off x="5143500" y="2257425"/>
          <a:ext cx="238125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1/AppData/Roaming/Microsoft/Excel/Reduction%20Zenio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sole"/>
      <sheetName val="BD"/>
      <sheetName val="Legend"/>
      <sheetName val="Base"/>
      <sheetName val="Feuil1"/>
      <sheetName val="Feuil2"/>
      <sheetName val="Reduction Zenio"/>
    </sheetNames>
    <definedNames>
      <definedName name="CopierLigneVersAutreFeuille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=""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P139"/>
  <sheetViews>
    <sheetView showGridLines="0" tabSelected="1" topLeftCell="A4" workbookViewId="0">
      <selection activeCell="H11" sqref="H11"/>
    </sheetView>
  </sheetViews>
  <sheetFormatPr baseColWidth="10" defaultColWidth="11.375" defaultRowHeight="15.75"/>
  <cols>
    <col min="1" max="3" width="1.125" style="1" customWidth="1"/>
    <col min="4" max="4" width="19.875" style="2" customWidth="1"/>
    <col min="5" max="5" width="39.25" style="2" customWidth="1"/>
    <col min="6" max="6" width="6.875" style="2" customWidth="1"/>
    <col min="7" max="7" width="14.25" style="1" customWidth="1"/>
    <col min="8" max="8" width="57" style="1" customWidth="1"/>
    <col min="9" max="16" width="11.375" style="1"/>
    <col min="17" max="17" width="19.875" style="1" bestFit="1" customWidth="1"/>
    <col min="18" max="16384" width="11.375" style="1"/>
  </cols>
  <sheetData>
    <row r="1" spans="1:16" ht="14.25">
      <c r="A1" s="23"/>
      <c r="B1" s="23"/>
      <c r="C1" s="23"/>
      <c r="D1" s="23"/>
      <c r="E1" s="23"/>
      <c r="F1" s="23"/>
      <c r="G1" s="44">
        <f ca="1">TODAY()</f>
        <v>45724</v>
      </c>
      <c r="H1" s="24">
        <f ca="1">TODAY()</f>
        <v>45724</v>
      </c>
      <c r="I1" s="23"/>
      <c r="J1" s="23"/>
      <c r="K1" s="23"/>
      <c r="L1" s="23"/>
      <c r="M1" s="23"/>
      <c r="N1" s="23"/>
      <c r="O1" s="23"/>
      <c r="P1" s="23"/>
    </row>
    <row r="2" spans="1:16" ht="14.2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5">
      <c r="A3" s="23"/>
      <c r="B3" s="23"/>
      <c r="C3" s="23"/>
      <c r="D3" s="23"/>
      <c r="E3" s="25" t="str">
        <f>IF(E7&lt;&gt;"",LEFT(RIGHT(E7,16),30),"-")</f>
        <v>françoise SIBAHI</v>
      </c>
      <c r="F3" s="23"/>
      <c r="G3" s="46"/>
      <c r="H3" s="46"/>
      <c r="I3" s="23"/>
      <c r="J3" s="23"/>
      <c r="K3" s="23"/>
      <c r="L3" s="23"/>
      <c r="M3" s="23"/>
      <c r="N3" s="23"/>
      <c r="O3" s="23"/>
      <c r="P3" s="23"/>
    </row>
    <row r="4" spans="1:16" ht="14.25">
      <c r="A4" s="23"/>
      <c r="B4" s="23"/>
      <c r="C4" s="23"/>
      <c r="D4" s="23"/>
      <c r="E4" s="23"/>
      <c r="F4" s="23"/>
      <c r="G4" s="46"/>
      <c r="H4" s="46"/>
      <c r="I4" s="23"/>
      <c r="J4" s="23"/>
      <c r="K4" s="23"/>
      <c r="L4" s="23"/>
      <c r="M4" s="23"/>
      <c r="N4" s="23"/>
      <c r="O4" s="23"/>
      <c r="P4" s="23"/>
    </row>
    <row r="5" spans="1:16" ht="14.25">
      <c r="A5" s="23"/>
      <c r="B5" s="23"/>
      <c r="C5" s="23"/>
      <c r="D5" s="23"/>
      <c r="E5" s="23"/>
      <c r="F5" s="23"/>
      <c r="G5" s="46"/>
      <c r="H5" s="46"/>
      <c r="I5" s="23"/>
      <c r="J5" s="23"/>
      <c r="K5" s="23"/>
      <c r="L5" s="23"/>
      <c r="M5" s="23"/>
      <c r="N5" s="23"/>
      <c r="O5" s="23"/>
      <c r="P5" s="23"/>
    </row>
    <row r="6" spans="1:16" ht="14.25">
      <c r="A6" s="23"/>
      <c r="B6" s="23"/>
      <c r="C6" s="23"/>
      <c r="D6" s="23"/>
      <c r="E6" s="23"/>
      <c r="F6" s="23"/>
      <c r="G6" s="46"/>
      <c r="H6" s="46"/>
      <c r="I6" s="23"/>
      <c r="J6" s="23"/>
      <c r="K6" s="23"/>
      <c r="L6" s="23"/>
      <c r="M6" s="23"/>
      <c r="N6" s="23"/>
      <c r="O6" s="23"/>
      <c r="P6" s="23"/>
    </row>
    <row r="7" spans="1:16">
      <c r="A7" s="23"/>
      <c r="B7" s="23"/>
      <c r="C7" s="23"/>
      <c r="D7" s="26" t="s">
        <v>1</v>
      </c>
      <c r="E7" s="37" t="s">
        <v>179</v>
      </c>
      <c r="F7" s="23"/>
      <c r="G7" s="46" t="str">
        <f>IF(E7&lt;&gt;"",LEFT(E7,16),"-")</f>
        <v xml:space="preserve">Fiche N°1602797 </v>
      </c>
      <c r="H7" s="46"/>
      <c r="I7" s="23"/>
      <c r="J7" s="23"/>
      <c r="K7" s="23"/>
      <c r="L7" s="23"/>
      <c r="M7" s="23"/>
      <c r="N7" s="23"/>
      <c r="O7" s="23"/>
      <c r="P7" s="23"/>
    </row>
    <row r="8" spans="1:16" ht="15">
      <c r="A8" s="23"/>
      <c r="B8" s="23"/>
      <c r="C8" s="23"/>
      <c r="D8" s="27"/>
      <c r="E8" s="28"/>
      <c r="F8" s="23"/>
      <c r="G8" s="23"/>
      <c r="H8" s="29" t="str">
        <f>IF(E15="Rappel","Date Rappel","")</f>
        <v/>
      </c>
      <c r="I8" s="29" t="str">
        <f>IF(E15="Rappel","Créneau","")</f>
        <v/>
      </c>
      <c r="J8" s="23"/>
      <c r="K8" s="23"/>
      <c r="L8" s="23"/>
      <c r="M8" s="23"/>
      <c r="N8" s="23"/>
      <c r="O8" s="23"/>
      <c r="P8" s="23"/>
    </row>
    <row r="9" spans="1:16" ht="15">
      <c r="A9" s="23"/>
      <c r="B9" s="23"/>
      <c r="C9" s="23"/>
      <c r="D9" s="26" t="s">
        <v>207</v>
      </c>
      <c r="E9" s="38"/>
      <c r="F9" s="23"/>
      <c r="G9" s="30">
        <v>2</v>
      </c>
      <c r="H9" s="31">
        <f ca="1">IF(G9&lt;&gt;"",G1+G9,"-")</f>
        <v>45726</v>
      </c>
      <c r="I9" s="32">
        <v>0.41666666666666669</v>
      </c>
      <c r="J9" s="23"/>
      <c r="K9" s="23"/>
      <c r="L9" s="23"/>
      <c r="M9" s="23"/>
      <c r="N9" s="23"/>
      <c r="O9" s="23"/>
      <c r="P9" s="23"/>
    </row>
    <row r="10" spans="1:16" ht="15">
      <c r="A10" s="23"/>
      <c r="B10" s="23"/>
      <c r="C10" s="23"/>
      <c r="D10" s="27"/>
      <c r="E10" s="28"/>
      <c r="F10" s="23"/>
      <c r="G10" s="46"/>
      <c r="H10" s="46"/>
      <c r="I10" s="23"/>
      <c r="J10" s="23"/>
      <c r="K10" s="23"/>
      <c r="L10" s="23"/>
      <c r="M10" s="23"/>
      <c r="N10" s="23"/>
      <c r="O10" s="23"/>
      <c r="P10" s="23"/>
    </row>
    <row r="11" spans="1:16">
      <c r="A11" s="23"/>
      <c r="B11" s="23"/>
      <c r="C11" s="23"/>
      <c r="D11" s="26" t="s">
        <v>37</v>
      </c>
      <c r="E11" s="37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5">
      <c r="A12" s="23"/>
      <c r="B12" s="23"/>
      <c r="C12" s="23"/>
      <c r="D12" s="27"/>
      <c r="E12" s="28"/>
      <c r="F12" s="23"/>
      <c r="J12" s="23"/>
      <c r="K12" s="23"/>
      <c r="L12" s="23"/>
      <c r="M12" s="23"/>
      <c r="N12" s="23"/>
      <c r="O12" s="23"/>
      <c r="P12" s="23"/>
    </row>
    <row r="13" spans="1:16" ht="15">
      <c r="A13" s="23"/>
      <c r="B13" s="23"/>
      <c r="C13" s="23"/>
      <c r="D13" s="26" t="s">
        <v>10</v>
      </c>
      <c r="E13" s="43"/>
      <c r="F13" s="23"/>
      <c r="J13" s="23"/>
      <c r="K13" s="23"/>
      <c r="L13" s="23"/>
      <c r="M13" s="23"/>
      <c r="N13" s="23"/>
      <c r="O13" s="23"/>
      <c r="P13" s="23"/>
    </row>
    <row r="14" spans="1:16" ht="15">
      <c r="A14" s="23"/>
      <c r="B14" s="23"/>
      <c r="C14" s="23"/>
      <c r="D14" s="27"/>
      <c r="E14" s="28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</row>
    <row r="15" spans="1:16">
      <c r="A15" s="23"/>
      <c r="B15" s="23"/>
      <c r="C15" s="23"/>
      <c r="D15" s="26" t="s">
        <v>38</v>
      </c>
      <c r="E15" s="37"/>
      <c r="F15" s="23"/>
      <c r="G15" s="47" t="s">
        <v>213</v>
      </c>
      <c r="H15" s="23"/>
      <c r="I15" s="23"/>
      <c r="J15" s="23"/>
      <c r="K15" s="23"/>
      <c r="L15" s="23"/>
      <c r="M15" s="23"/>
      <c r="N15" s="23"/>
      <c r="O15" s="23"/>
      <c r="P15" s="23"/>
    </row>
    <row r="16" spans="1:16" thickBot="1">
      <c r="A16" s="23"/>
      <c r="B16" s="23"/>
      <c r="C16" s="23"/>
      <c r="D16" s="27"/>
      <c r="E16" s="28"/>
      <c r="F16" s="23"/>
      <c r="G16" s="40" t="s">
        <v>0</v>
      </c>
      <c r="H16" s="40" t="s">
        <v>11</v>
      </c>
      <c r="I16" s="23"/>
      <c r="J16" s="23"/>
      <c r="K16" s="23"/>
      <c r="L16" s="23"/>
      <c r="M16" s="23"/>
      <c r="N16" s="23"/>
      <c r="O16" s="23"/>
      <c r="P16" s="23"/>
    </row>
    <row r="17" spans="1:16" ht="73.5" customHeight="1">
      <c r="A17" s="23"/>
      <c r="B17" s="23"/>
      <c r="C17" s="23"/>
      <c r="D17" s="33" t="s">
        <v>39</v>
      </c>
      <c r="E17" s="39"/>
      <c r="F17" s="23"/>
      <c r="G17" s="56">
        <f t="array" ref="G17">IFERROR(INDEX(DataBase!$E$10:$E$1998,SMALL(IF($G$15=DataBase!$H$10:$H$1998,ROW(DataBase!$B$10:$B$1998)-MIN(ROW(DataBase!$B$10))+1,""),ROWS(DataBase!$10:10))),"")</f>
        <v>45724.408953124999</v>
      </c>
      <c r="H17" s="52" t="str">
        <f t="array" ref="H17">IFERROR(INDEX(DataBase!$J$10:$J$1998,SMALL(IF($G$15=DataBase!$H$10:$H$1998,ROW(DataBase!$B$10:$B$1998)-MIN(ROW(DataBase!$B$10))+1,""),ROWS(DataBase!$10:10))),"")</f>
        <v xml:space="preserve">Client demande a ce qu on l appel </v>
      </c>
      <c r="I17" s="23"/>
      <c r="J17" s="23"/>
      <c r="K17" s="23"/>
      <c r="L17" s="23"/>
      <c r="M17" s="23"/>
      <c r="N17" s="23"/>
      <c r="O17" s="23"/>
      <c r="P17" s="23"/>
    </row>
    <row r="18" spans="1:16" ht="15" thickBot="1">
      <c r="A18" s="23"/>
      <c r="B18" s="23"/>
      <c r="C18" s="23"/>
      <c r="D18" s="23"/>
      <c r="E18" s="34"/>
      <c r="F18" s="23"/>
      <c r="G18" s="56">
        <f t="array" ref="G18">IFERROR(INDEX(DataBase!$E$10:$E$1998,SMALL(IF($G$15=DataBase!$H$10:$H$1998,ROW(DataBase!$B$10:$B$1998)-MIN(ROW(DataBase!$B$10))+1,""),ROWS(DataBase!$10:11))),"")</f>
        <v>45724.40972476852</v>
      </c>
      <c r="H18" s="52" t="str">
        <f t="array" ref="H18">IFERROR(INDEX(DataBase!$J$10:$J$1998,SMALL(IF($G$15=DataBase!$H$10:$H$1998,ROW(DataBase!$B$10:$B$1998)-MIN(ROW(DataBase!$B$10))+1,""),ROWS(DataBase!$10:11))),"")</f>
        <v xml:space="preserve">Client demande a ce qu on l appel </v>
      </c>
      <c r="I18" s="23"/>
      <c r="J18" s="23"/>
      <c r="K18" s="23"/>
      <c r="L18" s="23"/>
      <c r="M18" s="23"/>
      <c r="N18" s="23"/>
      <c r="O18" s="23"/>
      <c r="P18" s="23"/>
    </row>
    <row r="19" spans="1:16" ht="22.5">
      <c r="A19" s="23"/>
      <c r="B19" s="23"/>
      <c r="C19" s="23"/>
      <c r="D19" s="23"/>
      <c r="E19" s="49"/>
      <c r="F19" s="23"/>
      <c r="G19" s="56">
        <f t="array" ref="G19">IFERROR(INDEX(DataBase!$E$10:$E$1998,SMALL(IF($G$15=DataBase!$H$10:$H$1998,ROW(DataBase!$B$10:$B$1998)-MIN(ROW(DataBase!$B$10))+1,""),ROWS(DataBase!$10:12))),"")</f>
        <v>45724.41339386574</v>
      </c>
      <c r="H19" s="52" t="str">
        <f t="array" ref="H19">IFERROR(INDEX(DataBase!$J$10:$J$1998,SMALL(IF($G$15=DataBase!$H$10:$H$1998,ROW(DataBase!$B$10:$B$1998)-MIN(ROW(DataBase!$B$10))+1,""),ROWS(DataBase!$10:12))),"")</f>
        <v>Monsieur Coulon demande à être rappelé pour revoir son contrat, car il souhaite ajouter l'option optique dans sa mutuelle.</v>
      </c>
      <c r="I19" s="23"/>
      <c r="J19" s="23"/>
      <c r="K19" s="23"/>
      <c r="L19" s="23"/>
      <c r="M19" s="23"/>
      <c r="N19" s="23"/>
      <c r="O19" s="23"/>
      <c r="P19" s="23"/>
    </row>
    <row r="20" spans="1:16" ht="14.25">
      <c r="A20" s="23"/>
      <c r="B20" s="23"/>
      <c r="C20" s="23"/>
      <c r="D20" s="23"/>
      <c r="E20" s="50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</row>
    <row r="21" spans="1:16" ht="15" thickBot="1">
      <c r="A21" s="23"/>
      <c r="B21" s="23"/>
      <c r="C21" s="23"/>
      <c r="D21" s="23"/>
      <c r="E21" s="51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</row>
    <row r="22" spans="1:16" ht="14.25">
      <c r="A22" s="23"/>
      <c r="B22" s="23"/>
      <c r="C22" s="23"/>
      <c r="D22" s="23"/>
      <c r="E22" s="34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</row>
    <row r="23" spans="1:16" ht="14.25">
      <c r="A23" s="23"/>
      <c r="B23" s="23"/>
      <c r="C23" s="23"/>
      <c r="D23" s="23"/>
      <c r="E23" s="34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</row>
    <row r="24" spans="1:16" ht="14.25">
      <c r="A24" s="23"/>
      <c r="B24" s="23"/>
      <c r="C24" s="23"/>
      <c r="D24" s="23"/>
      <c r="E24" s="34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</row>
    <row r="25" spans="1:16" ht="14.25">
      <c r="A25" s="23"/>
      <c r="B25" s="23"/>
      <c r="C25" s="23"/>
      <c r="D25" s="23"/>
      <c r="E25" s="34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</row>
    <row r="26" spans="1:16" ht="14.25" hidden="1">
      <c r="A26" s="23"/>
      <c r="B26" s="23"/>
      <c r="C26" s="23"/>
      <c r="D26" s="23"/>
      <c r="E26" s="34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</row>
    <row r="27" spans="1:16" ht="14.25" hidden="1">
      <c r="A27" s="23"/>
      <c r="B27" s="23"/>
      <c r="C27" s="23"/>
      <c r="D27" s="23"/>
      <c r="E27" s="34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</row>
    <row r="28" spans="1:16" ht="14.25" hidden="1">
      <c r="A28" s="23"/>
      <c r="B28" s="23"/>
      <c r="C28" s="23"/>
      <c r="D28" s="35">
        <f ca="1">NOW()</f>
        <v>45724.474392824071</v>
      </c>
      <c r="E28" s="34" t="str">
        <f>E7</f>
        <v>Fiche N°1602797 - Somah françoise SIBAHI</v>
      </c>
      <c r="F28" s="23">
        <f>E11</f>
        <v>0</v>
      </c>
      <c r="G28" s="23">
        <f>E13</f>
        <v>0</v>
      </c>
      <c r="H28" s="23">
        <f>E15</f>
        <v>0</v>
      </c>
      <c r="I28" s="23">
        <f>E17</f>
        <v>0</v>
      </c>
      <c r="J28" s="23"/>
      <c r="K28" s="23"/>
      <c r="L28" s="23"/>
      <c r="M28" s="23"/>
      <c r="N28" s="23"/>
      <c r="O28" s="23"/>
      <c r="P28" s="23"/>
    </row>
    <row r="29" spans="1:16" ht="14.25" hidden="1">
      <c r="A29" s="23"/>
      <c r="B29" s="23"/>
      <c r="C29" s="23"/>
      <c r="D29" s="23"/>
      <c r="E29" s="34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</row>
    <row r="30" spans="1:16" ht="14.25">
      <c r="A30" s="23"/>
      <c r="B30" s="23"/>
      <c r="C30" s="23"/>
      <c r="D30" s="23"/>
      <c r="E30" s="34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</row>
    <row r="31" spans="1:16" ht="14.25">
      <c r="A31" s="23"/>
      <c r="B31" s="23"/>
      <c r="C31" s="23"/>
      <c r="D31" s="47" t="str">
        <f>G7</f>
        <v xml:space="preserve">Fiche N°1602797 </v>
      </c>
      <c r="E31" s="34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</row>
    <row r="32" spans="1:16" ht="15">
      <c r="A32" s="23"/>
      <c r="B32" s="23"/>
      <c r="C32" s="23"/>
      <c r="D32" s="48" t="s">
        <v>215</v>
      </c>
      <c r="E32" s="34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</row>
    <row r="33" spans="1:16" thickBot="1">
      <c r="A33" s="23"/>
      <c r="B33" s="23"/>
      <c r="C33" s="23"/>
      <c r="D33" s="40" t="s">
        <v>0</v>
      </c>
      <c r="E33" s="40" t="s">
        <v>10</v>
      </c>
      <c r="F33" s="40" t="s">
        <v>8</v>
      </c>
      <c r="G33" s="40" t="s">
        <v>3</v>
      </c>
      <c r="H33" s="40" t="s">
        <v>11</v>
      </c>
      <c r="I33" s="23"/>
      <c r="J33" s="23"/>
      <c r="K33" s="23"/>
      <c r="L33" s="23"/>
      <c r="M33" s="23"/>
      <c r="N33" s="23"/>
      <c r="O33" s="23"/>
      <c r="P33" s="23"/>
    </row>
    <row r="34" spans="1:16" s="11" customFormat="1" ht="46.5" customHeight="1">
      <c r="A34" s="30"/>
      <c r="B34" s="30"/>
      <c r="C34" s="30"/>
      <c r="D34" s="45">
        <f t="array" ref="D34">IFERROR(INDEX(DataBase!$E$10:$E$1998,SMALL(IF($D$31=DataBase!$C$10:$C$1998,ROW(DataBase!$B$10:$B$1998)-MIN(ROW(DataBase!$B$10))+1,""),ROWS(DataBase!$10:10))),"")</f>
        <v>45722.660717592589</v>
      </c>
      <c r="E34" s="42">
        <f t="array" ref="E34">IFERROR(INDEX(DataBase!$H$10:$H$1998,SMALL(IF($D$31=DataBase!$C$10:$C$1998,ROW(DataBase!$B$10:$B$1998)-MIN(ROW(DataBase!$B$10))+1,""),ROWS(DataBase!$10:10))),"")</f>
        <v>0</v>
      </c>
      <c r="F34" s="41">
        <f t="array" ref="F34">IFERROR(INDEX(DataBase!$E$10:$E$1998,SMALL(IF($D$31=DataBase!$C$10:$C$1998,ROW(DataBase!$B$10:$B$1998)-MIN(ROW(DataBase!$B$10))+1,""),ROWS(DataBase!$10:11))),"")</f>
        <v>45723.37599537037</v>
      </c>
      <c r="G34" s="41" t="str">
        <f t="array" ref="G34">IFERROR(INDEX(DataBase!$A$10:$A$1998,SMALL(IF($D$31=DataBase!$C$10:$C$1998,ROW(DataBase!$B$10:$B$1998)-MIN(ROW(DataBase!$B$10))+1,""),ROWS(DataBase!$10:10))),"")</f>
        <v>15:51</v>
      </c>
      <c r="H34" s="52" t="str">
        <f t="array" ref="H34">IFERROR(INDEX(DataBase!$J$10:$J$1998,SMALL(IF($D$31=DataBase!$C$10:$C$1998,ROW(DataBase!$B$10:$B$1998)-MIN(ROW(DataBase!$B$10))+1,""),ROWS(DataBase!$10:10))),"")</f>
        <v>Rappel</v>
      </c>
      <c r="I34" s="30"/>
      <c r="J34" s="30"/>
      <c r="K34" s="30"/>
      <c r="L34" s="30"/>
      <c r="M34" s="30"/>
      <c r="N34" s="30"/>
      <c r="O34" s="30"/>
      <c r="P34" s="30"/>
    </row>
    <row r="35" spans="1:16" s="11" customFormat="1" ht="46.5" customHeight="1">
      <c r="A35" s="30"/>
      <c r="B35" s="30"/>
      <c r="C35" s="30"/>
      <c r="D35" s="53">
        <f t="array" ref="D35">IFERROR(INDEX(DataBase!$E$10:$E$1998,SMALL(IF($D$31=DataBase!$C$10:$C$1998,ROW(DataBase!$B$10:$B$1998)-MIN(ROW(DataBase!$B$10))+1,""),ROWS(DataBase!$10:11))),"")</f>
        <v>45723.37599537037</v>
      </c>
      <c r="E35" s="54">
        <f t="array" ref="E35">IFERROR(INDEX(DataBase!$H$10:$H$1998,SMALL(IF($D$31=DataBase!$C$10:$C$1998,ROW(DataBase!$B$10:$B$1998)-MIN(ROW(DataBase!$B$10))+1,""),ROWS(DataBase!$10:11))),"")</f>
        <v>0</v>
      </c>
      <c r="F35" s="55" t="str">
        <f t="array" ref="F35">IFERROR(INDEX(DataBase!$E$10:$E$1998,SMALL(IF($D$31=DataBase!$C$10:$C$1998,ROW(DataBase!$B$10:$B$1998)-MIN(ROW(DataBase!$B$10))+1,""),ROWS(DataBase!$10:12))),"")</f>
        <v/>
      </c>
      <c r="G35" s="55" t="str">
        <f t="array" ref="G35">IFERROR(INDEX(DataBase!$A$10:$A$1998,SMALL(IF($D$31=DataBase!$C$10:$C$1998,ROW(DataBase!$B$10:$B$1998)-MIN(ROW(DataBase!$B$10))+1,""),ROWS(DataBase!$10:11))),"")</f>
        <v>09:01</v>
      </c>
      <c r="H35" s="57">
        <f t="array" ref="H35">IFERROR(INDEX(DataBase!$J$10:$J$1998,SMALL(IF($D$31=DataBase!$C$10:$C$1998,ROW(DataBase!$B$10:$B$1998)-MIN(ROW(DataBase!$B$10))+1,""),ROWS(DataBase!$10:11))),"")</f>
        <v>0</v>
      </c>
      <c r="I35" s="30"/>
      <c r="J35" s="30"/>
      <c r="K35" s="30"/>
      <c r="L35" s="30"/>
      <c r="M35" s="30"/>
      <c r="N35" s="30"/>
      <c r="O35" s="30"/>
      <c r="P35" s="30"/>
    </row>
    <row r="36" spans="1:16" s="11" customFormat="1" ht="46.5" customHeight="1">
      <c r="A36" s="30"/>
      <c r="B36" s="30"/>
      <c r="C36" s="30"/>
      <c r="D36" s="45" t="str">
        <f t="array" ref="D36">IFERROR(INDEX(DataBase!$E$10:$E$1998,SMALL(IF($D$31=DataBase!$C$10:$C$1998,ROW(DataBase!$B$10:$B$1998)-MIN(ROW(DataBase!$B$10))+1,""),ROWS(DataBase!$10:12))),"")</f>
        <v/>
      </c>
      <c r="E36" s="42" t="str">
        <f t="array" ref="E36">IFERROR(INDEX(DataBase!$H$10:$H$1998,SMALL(IF($D$31=DataBase!$C$10:$C$1998,ROW(DataBase!$B$10:$B$1998)-MIN(ROW(DataBase!$B$10))+1,""),ROWS(DataBase!$10:12))),"")</f>
        <v/>
      </c>
      <c r="F36" s="41" t="str">
        <f t="array" ref="F36">IFERROR(INDEX(DataBase!$E$10:$E$1998,SMALL(IF($D$31=DataBase!$C$10:$C$1998,ROW(DataBase!$B$10:$B$1998)-MIN(ROW(DataBase!$B$10))+1,""),ROWS(DataBase!$10:13))),"")</f>
        <v/>
      </c>
      <c r="G36" s="41" t="str">
        <f t="array" ref="G36">IFERROR(INDEX(DataBase!$A$10:$A$1998,SMALL(IF($D$31=DataBase!$C$10:$C$1998,ROW(DataBase!$B$10:$B$1998)-MIN(ROW(DataBase!$B$10))+1,""),ROWS(DataBase!$10:12))),"")</f>
        <v/>
      </c>
      <c r="H36" s="58" t="str">
        <f t="array" ref="H36">IFERROR(INDEX(DataBase!$K$10:$K$1998,SMALL(IF($D$31=DataBase!$C$10:$C$1998,ROW(DataBase!$B$10:$B$1998)-MIN(ROW(DataBase!$B$10))+1,""),ROWS(DataBase!$10:13))),"")</f>
        <v/>
      </c>
      <c r="I36" s="30"/>
      <c r="J36" s="30"/>
      <c r="K36" s="30"/>
      <c r="L36" s="30"/>
      <c r="M36" s="30"/>
      <c r="N36" s="30"/>
      <c r="O36" s="30"/>
      <c r="P36" s="30"/>
    </row>
    <row r="37" spans="1:16" s="11" customFormat="1" ht="46.5" customHeight="1">
      <c r="A37" s="30"/>
      <c r="B37" s="30"/>
      <c r="C37" s="30"/>
      <c r="D37" s="53" t="str">
        <f t="array" ref="D37">IFERROR(INDEX(DataBase!$E$10:$E$1998,SMALL(IF($D$31=DataBase!$C$10:$C$1998,ROW(DataBase!$B$10:$B$1998)-MIN(ROW(DataBase!$B$10))+1,""),ROWS(DataBase!$10:13))),"")</f>
        <v/>
      </c>
      <c r="E37" s="54" t="str">
        <f t="array" ref="E37">IFERROR(INDEX(DataBase!$H$10:$H$1998,SMALL(IF($D$31=DataBase!$C$10:$C$1998,ROW(DataBase!$B$10:$B$1998)-MIN(ROW(DataBase!$B$10))+1,""),ROWS(DataBase!$10:13))),"")</f>
        <v/>
      </c>
      <c r="F37" s="55" t="str">
        <f t="array" ref="F37">IFERROR(INDEX(DataBase!$E$10:$E$1998,SMALL(IF($D$31=DataBase!$C$10:$C$1998,ROW(DataBase!$B$10:$B$1998)-MIN(ROW(DataBase!$B$10))+1,""),ROWS(DataBase!$10:14))),"")</f>
        <v/>
      </c>
      <c r="G37" s="55" t="str">
        <f t="array" ref="G37">IFERROR(INDEX(DataBase!$A$10:$A$1998,SMALL(IF($D$31=DataBase!$C$10:$C$1998,ROW(DataBase!$B$10:$B$1998)-MIN(ROW(DataBase!$B$10))+1,""),ROWS(DataBase!$10:13))),"")</f>
        <v/>
      </c>
      <c r="H37" s="59" t="str">
        <f t="array" ref="H37">IFERROR(INDEX(DataBase!$K$10:$K$1998,SMALL(IF($D$31=DataBase!$C$10:$C$1998,ROW(DataBase!$B$10:$B$1998)-MIN(ROW(DataBase!$B$10))+1,""),ROWS(DataBase!$10:14))),"")</f>
        <v/>
      </c>
      <c r="I37" s="30"/>
      <c r="J37" s="30"/>
      <c r="K37" s="30"/>
      <c r="L37" s="30"/>
      <c r="M37" s="30"/>
      <c r="N37" s="30"/>
      <c r="O37" s="30"/>
      <c r="P37" s="30"/>
    </row>
    <row r="38" spans="1:16" s="11" customFormat="1" ht="46.5" customHeight="1">
      <c r="A38" s="30"/>
      <c r="B38" s="30"/>
      <c r="C38" s="30"/>
      <c r="D38" s="45" t="str">
        <f t="array" ref="D38">IFERROR(INDEX(DataBase!$E$10:$E$1998,SMALL(IF($D$31=DataBase!$C$10:$C$1998,ROW(DataBase!$B$10:$B$1998)-MIN(ROW(DataBase!$B$10))+1,""),ROWS(DataBase!$10:14))),"")</f>
        <v/>
      </c>
      <c r="E38" s="42" t="str">
        <f t="array" ref="E38">IFERROR(INDEX(DataBase!$H$10:$H$1998,SMALL(IF($D$31=DataBase!$C$10:$C$1998,ROW(DataBase!$B$10:$B$1998)-MIN(ROW(DataBase!$B$10))+1,""),ROWS(DataBase!$10:14))),"")</f>
        <v/>
      </c>
      <c r="F38" s="41" t="str">
        <f t="array" ref="F38">IFERROR(INDEX(DataBase!$E$10:$E$1998,SMALL(IF($D$31=DataBase!$C$10:$C$1998,ROW(DataBase!$B$10:$B$1998)-MIN(ROW(DataBase!$B$10))+1,""),ROWS(DataBase!$10:15))),"")</f>
        <v/>
      </c>
      <c r="G38" s="41" t="str">
        <f t="array" ref="G38">IFERROR(INDEX(DataBase!$A$10:$A$1998,SMALL(IF($D$31=DataBase!$C$10:$C$1998,ROW(DataBase!$B$10:$B$1998)-MIN(ROW(DataBase!$B$10))+1,""),ROWS(DataBase!$10:14))),"")</f>
        <v/>
      </c>
      <c r="H38" s="58" t="str">
        <f t="array" ref="H38">IFERROR(INDEX(DataBase!$K$10:$K$1998,SMALL(IF($D$31=DataBase!$C$10:$C$1998,ROW(DataBase!$B$10:$B$1998)-MIN(ROW(DataBase!$B$10))+1,""),ROWS(DataBase!$10:15))),"")</f>
        <v/>
      </c>
      <c r="I38" s="30"/>
      <c r="J38" s="30"/>
      <c r="K38" s="30"/>
      <c r="L38" s="30"/>
      <c r="M38" s="30"/>
      <c r="N38" s="30"/>
      <c r="O38" s="30"/>
      <c r="P38" s="30"/>
    </row>
    <row r="39" spans="1:16" ht="14.25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</row>
    <row r="40" spans="1:16" ht="14.2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</row>
    <row r="41" spans="1:16" ht="14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</row>
    <row r="42" spans="1:16" ht="14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</row>
    <row r="43" spans="1:16" ht="14.2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</row>
    <row r="44" spans="1:16" ht="14.2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</row>
    <row r="45" spans="1:16" ht="14.2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</row>
    <row r="46" spans="1:16" ht="14.25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</row>
    <row r="47" spans="1:16" ht="14.2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</row>
    <row r="48" spans="1:16" ht="14.2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</row>
    <row r="49" spans="1:16" ht="14.25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</row>
    <row r="50" spans="1:16" ht="14.2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</row>
    <row r="51" spans="1:16" ht="14.25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</row>
    <row r="52" spans="1:16" ht="14.2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</row>
    <row r="53" spans="1:16" ht="14.25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</row>
    <row r="54" spans="1:16" ht="14.25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</row>
    <row r="55" spans="1:16" ht="14.2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</row>
    <row r="56" spans="1:16" ht="14.25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</row>
    <row r="57" spans="1:16" ht="14.25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</row>
    <row r="58" spans="1:16" ht="14.25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</row>
    <row r="59" spans="1:16" ht="14.2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</row>
    <row r="60" spans="1:16" ht="14.2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</row>
    <row r="61" spans="1:16" ht="14.2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</row>
    <row r="62" spans="1:16" ht="14.2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</row>
    <row r="63" spans="1:16" ht="14.2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</row>
    <row r="64" spans="1:16" ht="14.2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4.25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</row>
    <row r="79" spans="1:16" ht="14.25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</row>
    <row r="80" spans="1:16" ht="14.25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</row>
    <row r="81" spans="1:16" ht="14.25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</row>
    <row r="82" spans="1:16" ht="14.25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</row>
    <row r="83" spans="1:16" ht="14.25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</row>
    <row r="84" spans="1:16" ht="14.25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</row>
    <row r="85" spans="1:16" ht="14.25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</row>
    <row r="86" spans="1:16" ht="14.25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</row>
    <row r="87" spans="1:16" ht="14.25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</row>
    <row r="88" spans="1:16" ht="14.25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</row>
    <row r="89" spans="1:16" ht="14.25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</row>
    <row r="90" spans="1:16" ht="14.25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</row>
    <row r="91" spans="1:16" ht="14.25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</row>
    <row r="92" spans="1:16" ht="14.25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</row>
    <row r="93" spans="1:16" ht="14.25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</row>
    <row r="94" spans="1:16" ht="14.25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</row>
    <row r="95" spans="1:16" ht="14.25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</row>
    <row r="96" spans="1:16" ht="14.25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</row>
    <row r="97" spans="1:16" ht="14.25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</row>
    <row r="98" spans="1:16" ht="14.25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</row>
    <row r="99" spans="1:16" ht="14.25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</row>
    <row r="100" spans="1:16">
      <c r="A100" s="23"/>
      <c r="B100" s="23"/>
      <c r="C100" s="23"/>
      <c r="D100" s="36"/>
      <c r="E100" s="36"/>
      <c r="F100" s="36"/>
      <c r="G100" s="23"/>
      <c r="H100" s="23"/>
      <c r="I100" s="23"/>
      <c r="J100" s="23"/>
      <c r="K100" s="23"/>
      <c r="L100" s="23"/>
      <c r="M100" s="23"/>
      <c r="N100" s="23"/>
      <c r="O100" s="23"/>
      <c r="P100" s="23"/>
    </row>
    <row r="101" spans="1:16">
      <c r="A101" s="23"/>
      <c r="B101" s="23"/>
      <c r="C101" s="23"/>
      <c r="D101" s="36"/>
      <c r="E101" s="36"/>
      <c r="F101" s="36"/>
      <c r="G101" s="23"/>
      <c r="H101" s="23"/>
      <c r="I101" s="23"/>
      <c r="J101" s="23"/>
      <c r="K101" s="23"/>
      <c r="L101" s="23"/>
      <c r="M101" s="23"/>
      <c r="N101" s="23"/>
      <c r="O101" s="23"/>
      <c r="P101" s="23"/>
    </row>
    <row r="102" spans="1:16">
      <c r="A102" s="23"/>
      <c r="B102" s="23"/>
      <c r="C102" s="23"/>
      <c r="D102" s="36"/>
      <c r="E102" s="36"/>
      <c r="F102" s="36"/>
      <c r="G102" s="23"/>
      <c r="H102" s="23"/>
      <c r="I102" s="23"/>
      <c r="J102" s="23"/>
      <c r="K102" s="23"/>
      <c r="L102" s="23"/>
      <c r="M102" s="23"/>
      <c r="N102" s="23"/>
      <c r="O102" s="23"/>
      <c r="P102" s="23"/>
    </row>
    <row r="103" spans="1:16">
      <c r="A103" s="23"/>
      <c r="B103" s="23"/>
      <c r="C103" s="23"/>
      <c r="D103" s="36"/>
      <c r="E103" s="36"/>
      <c r="F103" s="36"/>
      <c r="G103" s="23"/>
      <c r="H103" s="23"/>
      <c r="I103" s="23"/>
      <c r="J103" s="23"/>
      <c r="K103" s="23"/>
      <c r="L103" s="23"/>
      <c r="M103" s="23"/>
      <c r="N103" s="23"/>
      <c r="O103" s="23"/>
      <c r="P103" s="23"/>
    </row>
    <row r="104" spans="1:16">
      <c r="A104" s="23"/>
      <c r="B104" s="23"/>
      <c r="C104" s="23"/>
      <c r="D104" s="36"/>
      <c r="E104" s="36"/>
      <c r="F104" s="36"/>
      <c r="G104" s="23"/>
      <c r="H104" s="23"/>
      <c r="I104" s="23"/>
      <c r="J104" s="23"/>
      <c r="K104" s="23"/>
      <c r="L104" s="23"/>
      <c r="M104" s="23"/>
      <c r="N104" s="23"/>
      <c r="O104" s="23"/>
      <c r="P104" s="23"/>
    </row>
    <row r="105" spans="1:16">
      <c r="A105" s="23"/>
      <c r="B105" s="23"/>
      <c r="C105" s="23"/>
      <c r="D105" s="36"/>
      <c r="E105" s="36"/>
      <c r="F105" s="36"/>
      <c r="G105" s="23"/>
      <c r="H105" s="23"/>
      <c r="I105" s="23"/>
      <c r="J105" s="23"/>
      <c r="K105" s="23"/>
      <c r="L105" s="23"/>
      <c r="M105" s="23"/>
      <c r="N105" s="23"/>
      <c r="O105" s="23"/>
      <c r="P105" s="23"/>
    </row>
    <row r="106" spans="1:16">
      <c r="A106" s="23"/>
      <c r="B106" s="23"/>
      <c r="C106" s="23"/>
      <c r="D106" s="36"/>
      <c r="E106" s="36"/>
      <c r="F106" s="36"/>
      <c r="G106" s="23"/>
      <c r="H106" s="23"/>
      <c r="I106" s="23"/>
      <c r="J106" s="23"/>
      <c r="K106" s="23"/>
      <c r="L106" s="23"/>
      <c r="M106" s="23"/>
      <c r="N106" s="23"/>
      <c r="O106" s="23"/>
      <c r="P106" s="23"/>
    </row>
    <row r="107" spans="1:16">
      <c r="A107" s="23"/>
      <c r="B107" s="23"/>
      <c r="C107" s="23"/>
      <c r="D107" s="36"/>
      <c r="E107" s="36"/>
      <c r="F107" s="36"/>
      <c r="G107" s="23"/>
      <c r="H107" s="23"/>
      <c r="I107" s="23"/>
      <c r="J107" s="23"/>
      <c r="K107" s="23"/>
      <c r="L107" s="23"/>
      <c r="M107" s="23"/>
      <c r="N107" s="23"/>
      <c r="O107" s="23"/>
      <c r="P107" s="23"/>
    </row>
    <row r="108" spans="1:16">
      <c r="A108" s="23"/>
      <c r="B108" s="23"/>
      <c r="C108" s="23"/>
      <c r="D108" s="36"/>
      <c r="E108" s="36"/>
      <c r="F108" s="36"/>
      <c r="G108" s="23"/>
      <c r="H108" s="23"/>
      <c r="I108" s="23"/>
      <c r="J108" s="23"/>
      <c r="K108" s="23"/>
      <c r="L108" s="23"/>
      <c r="M108" s="23"/>
      <c r="N108" s="23"/>
      <c r="O108" s="23"/>
      <c r="P108" s="23"/>
    </row>
    <row r="109" spans="1:16">
      <c r="A109" s="23"/>
      <c r="B109" s="23"/>
      <c r="C109" s="23"/>
      <c r="D109" s="36"/>
      <c r="E109" s="36"/>
      <c r="F109" s="36"/>
      <c r="G109" s="23"/>
      <c r="H109" s="23"/>
      <c r="I109" s="23"/>
      <c r="J109" s="23"/>
      <c r="K109" s="23"/>
      <c r="L109" s="23"/>
      <c r="M109" s="23"/>
      <c r="N109" s="23"/>
      <c r="O109" s="23"/>
      <c r="P109" s="23"/>
    </row>
    <row r="110" spans="1:16">
      <c r="A110" s="23"/>
      <c r="B110" s="23"/>
      <c r="C110" s="23"/>
      <c r="D110" s="36"/>
      <c r="E110" s="36"/>
      <c r="F110" s="36"/>
      <c r="G110" s="23"/>
      <c r="H110" s="23"/>
      <c r="I110" s="23"/>
      <c r="J110" s="23"/>
      <c r="K110" s="23"/>
      <c r="L110" s="23"/>
      <c r="M110" s="23"/>
      <c r="N110" s="23"/>
      <c r="O110" s="23"/>
      <c r="P110" s="23"/>
    </row>
    <row r="111" spans="1:16">
      <c r="A111" s="23"/>
      <c r="B111" s="23"/>
      <c r="C111" s="23"/>
      <c r="D111" s="36"/>
      <c r="E111" s="36"/>
      <c r="F111" s="36"/>
      <c r="G111" s="23"/>
      <c r="H111" s="23"/>
      <c r="I111" s="23"/>
      <c r="J111" s="23"/>
      <c r="K111" s="23"/>
      <c r="L111" s="23"/>
      <c r="M111" s="23"/>
      <c r="N111" s="23"/>
      <c r="O111" s="23"/>
      <c r="P111" s="23"/>
    </row>
    <row r="112" spans="1:16">
      <c r="A112" s="23"/>
      <c r="B112" s="23"/>
      <c r="C112" s="23"/>
      <c r="D112" s="36"/>
      <c r="E112" s="36"/>
      <c r="F112" s="36"/>
      <c r="G112" s="23"/>
      <c r="H112" s="23"/>
      <c r="I112" s="23"/>
      <c r="J112" s="23"/>
      <c r="K112" s="23"/>
      <c r="L112" s="23"/>
      <c r="M112" s="23"/>
      <c r="N112" s="23"/>
      <c r="O112" s="23"/>
      <c r="P112" s="23"/>
    </row>
    <row r="113" spans="1:16">
      <c r="A113" s="23"/>
      <c r="B113" s="23"/>
      <c r="C113" s="23"/>
      <c r="D113" s="36"/>
      <c r="E113" s="36"/>
      <c r="F113" s="36"/>
      <c r="G113" s="23"/>
      <c r="H113" s="23"/>
      <c r="I113" s="23"/>
      <c r="J113" s="23"/>
      <c r="K113" s="23"/>
      <c r="L113" s="23"/>
      <c r="M113" s="23"/>
      <c r="N113" s="23"/>
      <c r="O113" s="23"/>
      <c r="P113" s="23"/>
    </row>
    <row r="114" spans="1:16">
      <c r="A114" s="23"/>
      <c r="B114" s="23"/>
      <c r="C114" s="23"/>
      <c r="D114" s="36"/>
      <c r="E114" s="36"/>
      <c r="F114" s="36"/>
      <c r="G114" s="23"/>
      <c r="H114" s="23"/>
      <c r="I114" s="23"/>
      <c r="J114" s="23"/>
      <c r="K114" s="23"/>
      <c r="L114" s="23"/>
      <c r="M114" s="23"/>
      <c r="N114" s="23"/>
      <c r="O114" s="23"/>
      <c r="P114" s="23"/>
    </row>
    <row r="115" spans="1:16">
      <c r="A115" s="23"/>
      <c r="B115" s="23"/>
      <c r="C115" s="23"/>
      <c r="D115" s="36"/>
      <c r="E115" s="36"/>
      <c r="F115" s="36"/>
      <c r="G115" s="23"/>
      <c r="H115" s="23"/>
      <c r="I115" s="23"/>
      <c r="J115" s="23"/>
      <c r="K115" s="23"/>
      <c r="L115" s="23"/>
      <c r="M115" s="23"/>
      <c r="N115" s="23"/>
      <c r="O115" s="23"/>
      <c r="P115" s="23"/>
    </row>
    <row r="116" spans="1:16">
      <c r="A116" s="23"/>
      <c r="B116" s="23"/>
      <c r="C116" s="23"/>
      <c r="D116" s="36"/>
      <c r="E116" s="36"/>
      <c r="F116" s="36"/>
      <c r="G116" s="23"/>
      <c r="H116" s="23"/>
      <c r="I116" s="23"/>
      <c r="J116" s="23"/>
      <c r="K116" s="23"/>
      <c r="L116" s="23"/>
      <c r="M116" s="23"/>
      <c r="N116" s="23"/>
      <c r="O116" s="23"/>
      <c r="P116" s="23"/>
    </row>
    <row r="117" spans="1:16">
      <c r="A117" s="23"/>
      <c r="B117" s="23"/>
      <c r="C117" s="23"/>
      <c r="D117" s="36"/>
      <c r="E117" s="36"/>
      <c r="F117" s="36"/>
      <c r="G117" s="23"/>
      <c r="H117" s="23"/>
      <c r="I117" s="23"/>
      <c r="J117" s="23"/>
      <c r="K117" s="23"/>
      <c r="L117" s="23"/>
      <c r="M117" s="23"/>
      <c r="N117" s="23"/>
      <c r="O117" s="23"/>
      <c r="P117" s="23"/>
    </row>
    <row r="118" spans="1:16">
      <c r="A118" s="23"/>
      <c r="B118" s="23"/>
      <c r="C118" s="23"/>
      <c r="D118" s="36"/>
      <c r="E118" s="36"/>
      <c r="F118" s="36"/>
      <c r="G118" s="23"/>
      <c r="H118" s="23"/>
      <c r="I118" s="23"/>
      <c r="J118" s="23"/>
      <c r="K118" s="23"/>
      <c r="L118" s="23"/>
      <c r="M118" s="23"/>
      <c r="N118" s="23"/>
      <c r="O118" s="23"/>
      <c r="P118" s="23"/>
    </row>
    <row r="119" spans="1:16">
      <c r="A119" s="23"/>
      <c r="B119" s="23"/>
      <c r="C119" s="23"/>
      <c r="D119" s="36"/>
      <c r="E119" s="36"/>
      <c r="F119" s="36"/>
      <c r="G119" s="23"/>
      <c r="H119" s="23"/>
      <c r="I119" s="23"/>
      <c r="J119" s="23"/>
      <c r="K119" s="23"/>
      <c r="L119" s="23"/>
      <c r="M119" s="23"/>
      <c r="N119" s="23"/>
      <c r="O119" s="23"/>
      <c r="P119" s="23"/>
    </row>
    <row r="120" spans="1:16">
      <c r="A120" s="23"/>
      <c r="B120" s="23"/>
      <c r="C120" s="23"/>
      <c r="D120" s="36"/>
      <c r="E120" s="36"/>
      <c r="F120" s="36"/>
      <c r="G120" s="23"/>
      <c r="H120" s="23"/>
      <c r="I120" s="23"/>
      <c r="J120" s="23"/>
      <c r="K120" s="23"/>
      <c r="L120" s="23"/>
      <c r="M120" s="23"/>
      <c r="N120" s="23"/>
      <c r="O120" s="23"/>
      <c r="P120" s="23"/>
    </row>
    <row r="121" spans="1:16">
      <c r="A121" s="23"/>
      <c r="B121" s="23"/>
      <c r="C121" s="23"/>
      <c r="D121" s="36"/>
      <c r="E121" s="36"/>
      <c r="F121" s="36"/>
      <c r="G121" s="23"/>
      <c r="H121" s="23"/>
      <c r="I121" s="23"/>
      <c r="J121" s="23"/>
      <c r="K121" s="23"/>
      <c r="L121" s="23"/>
      <c r="M121" s="23"/>
      <c r="N121" s="23"/>
      <c r="O121" s="23"/>
      <c r="P121" s="23"/>
    </row>
    <row r="122" spans="1:16">
      <c r="A122" s="23"/>
      <c r="B122" s="23"/>
      <c r="C122" s="23"/>
      <c r="D122" s="36"/>
      <c r="E122" s="36"/>
      <c r="F122" s="36"/>
      <c r="G122" s="23"/>
      <c r="H122" s="23"/>
      <c r="I122" s="23"/>
      <c r="J122" s="23"/>
      <c r="K122" s="23"/>
      <c r="L122" s="23"/>
      <c r="M122" s="23"/>
      <c r="N122" s="23"/>
      <c r="O122" s="23"/>
      <c r="P122" s="23"/>
    </row>
    <row r="123" spans="1:16">
      <c r="A123" s="23"/>
      <c r="B123" s="23"/>
      <c r="C123" s="23"/>
      <c r="D123" s="36"/>
      <c r="E123" s="36"/>
      <c r="F123" s="36"/>
      <c r="G123" s="23"/>
      <c r="H123" s="23"/>
      <c r="I123" s="23"/>
      <c r="J123" s="23"/>
      <c r="K123" s="23"/>
      <c r="L123" s="23"/>
      <c r="M123" s="23"/>
      <c r="N123" s="23"/>
      <c r="O123" s="23"/>
      <c r="P123" s="23"/>
    </row>
    <row r="124" spans="1:16">
      <c r="A124" s="23"/>
      <c r="B124" s="23"/>
      <c r="C124" s="23"/>
      <c r="D124" s="36"/>
      <c r="E124" s="36"/>
      <c r="F124" s="36"/>
      <c r="G124" s="23"/>
      <c r="H124" s="23"/>
      <c r="I124" s="23"/>
      <c r="J124" s="23"/>
      <c r="K124" s="23"/>
      <c r="L124" s="23"/>
      <c r="M124" s="23"/>
      <c r="N124" s="23"/>
      <c r="O124" s="23"/>
      <c r="P124" s="23"/>
    </row>
    <row r="125" spans="1:16">
      <c r="A125" s="23"/>
      <c r="B125" s="23"/>
      <c r="C125" s="23"/>
      <c r="D125" s="36"/>
      <c r="E125" s="36"/>
      <c r="F125" s="36"/>
      <c r="G125" s="23"/>
      <c r="H125" s="23"/>
      <c r="I125" s="23"/>
      <c r="J125" s="23"/>
      <c r="K125" s="23"/>
      <c r="L125" s="23"/>
      <c r="M125" s="23"/>
      <c r="N125" s="23"/>
      <c r="O125" s="23"/>
      <c r="P125" s="23"/>
    </row>
    <row r="126" spans="1:16">
      <c r="A126" s="23"/>
      <c r="B126" s="23"/>
      <c r="C126" s="23"/>
      <c r="D126" s="36"/>
      <c r="E126" s="36"/>
      <c r="F126" s="36"/>
      <c r="G126" s="23"/>
      <c r="H126" s="23"/>
      <c r="I126" s="23"/>
      <c r="J126" s="23"/>
      <c r="K126" s="23"/>
      <c r="L126" s="23"/>
      <c r="M126" s="23"/>
      <c r="N126" s="23"/>
      <c r="O126" s="23"/>
      <c r="P126" s="23"/>
    </row>
    <row r="127" spans="1:16">
      <c r="A127" s="23"/>
      <c r="B127" s="23"/>
      <c r="C127" s="23"/>
      <c r="D127" s="36"/>
      <c r="E127" s="36"/>
      <c r="F127" s="36"/>
      <c r="G127" s="23"/>
      <c r="H127" s="23"/>
      <c r="I127" s="23"/>
      <c r="J127" s="23"/>
      <c r="K127" s="23"/>
      <c r="L127" s="23"/>
      <c r="M127" s="23"/>
      <c r="N127" s="23"/>
      <c r="O127" s="23"/>
      <c r="P127" s="23"/>
    </row>
    <row r="128" spans="1:16">
      <c r="A128" s="23"/>
      <c r="B128" s="23"/>
      <c r="C128" s="23"/>
      <c r="D128" s="36"/>
      <c r="E128" s="36"/>
      <c r="F128" s="36"/>
      <c r="G128" s="23"/>
      <c r="H128" s="23"/>
      <c r="I128" s="23"/>
      <c r="J128" s="23"/>
      <c r="K128" s="23"/>
      <c r="L128" s="23"/>
      <c r="M128" s="23"/>
      <c r="N128" s="23"/>
      <c r="O128" s="23"/>
      <c r="P128" s="23"/>
    </row>
    <row r="129" spans="1:16">
      <c r="A129" s="23"/>
      <c r="B129" s="23"/>
      <c r="C129" s="23"/>
      <c r="D129" s="36"/>
      <c r="E129" s="36"/>
      <c r="F129" s="36"/>
      <c r="G129" s="23"/>
      <c r="H129" s="23"/>
      <c r="I129" s="23"/>
      <c r="J129" s="23"/>
      <c r="K129" s="23"/>
      <c r="L129" s="23"/>
      <c r="M129" s="23"/>
      <c r="N129" s="23"/>
      <c r="O129" s="23"/>
      <c r="P129" s="23"/>
    </row>
    <row r="130" spans="1:16">
      <c r="A130" s="23"/>
      <c r="B130" s="23"/>
      <c r="C130" s="23"/>
      <c r="D130" s="36"/>
      <c r="E130" s="36"/>
      <c r="F130" s="36"/>
      <c r="G130" s="23"/>
      <c r="H130" s="23"/>
      <c r="I130" s="23"/>
      <c r="J130" s="23"/>
      <c r="K130" s="23"/>
      <c r="L130" s="23"/>
      <c r="M130" s="23"/>
      <c r="N130" s="23"/>
      <c r="O130" s="23"/>
      <c r="P130" s="23"/>
    </row>
    <row r="131" spans="1:16">
      <c r="A131" s="23"/>
      <c r="B131" s="23"/>
      <c r="C131" s="23"/>
      <c r="D131" s="36"/>
      <c r="E131" s="36"/>
      <c r="F131" s="36"/>
      <c r="G131" s="23"/>
      <c r="H131" s="23"/>
      <c r="I131" s="23"/>
      <c r="J131" s="23"/>
      <c r="K131" s="23"/>
      <c r="L131" s="23"/>
      <c r="M131" s="23"/>
      <c r="N131" s="23"/>
      <c r="O131" s="23"/>
      <c r="P131" s="23"/>
    </row>
    <row r="132" spans="1:16">
      <c r="A132" s="23"/>
      <c r="J132" s="10"/>
      <c r="K132" s="10"/>
      <c r="L132" s="10"/>
      <c r="M132" s="10"/>
      <c r="N132" s="10"/>
      <c r="O132" s="10"/>
      <c r="P132" s="10"/>
    </row>
    <row r="133" spans="1:16">
      <c r="A133" s="23"/>
      <c r="J133" s="10"/>
      <c r="K133" s="10"/>
      <c r="L133" s="10"/>
      <c r="M133" s="10"/>
      <c r="N133" s="10"/>
      <c r="O133" s="10"/>
      <c r="P133" s="10"/>
    </row>
    <row r="134" spans="1:16">
      <c r="A134" s="23"/>
      <c r="J134" s="10"/>
      <c r="K134" s="10"/>
      <c r="L134" s="10"/>
      <c r="M134" s="10"/>
      <c r="N134" s="10"/>
      <c r="O134" s="10"/>
      <c r="P134" s="10"/>
    </row>
    <row r="135" spans="1:16">
      <c r="A135" s="23"/>
      <c r="J135" s="10"/>
      <c r="K135" s="10"/>
      <c r="L135" s="10"/>
      <c r="M135" s="10"/>
      <c r="N135" s="10"/>
      <c r="O135" s="10"/>
      <c r="P135" s="10"/>
    </row>
    <row r="136" spans="1:16">
      <c r="J136" s="10"/>
      <c r="K136" s="10"/>
      <c r="L136" s="10"/>
      <c r="M136" s="10"/>
      <c r="N136" s="10"/>
      <c r="O136" s="10"/>
      <c r="P136" s="10"/>
    </row>
    <row r="137" spans="1:16">
      <c r="J137" s="10"/>
      <c r="K137" s="10"/>
      <c r="L137" s="10"/>
      <c r="M137" s="10"/>
      <c r="N137" s="10"/>
      <c r="O137" s="10"/>
      <c r="P137" s="10"/>
    </row>
    <row r="138" spans="1:16">
      <c r="J138" s="10"/>
      <c r="K138" s="10"/>
      <c r="L138" s="10"/>
      <c r="M138" s="10"/>
      <c r="N138" s="10"/>
      <c r="O138" s="10"/>
      <c r="P138" s="10"/>
    </row>
    <row r="139" spans="1:16">
      <c r="J139" s="10"/>
      <c r="K139" s="10"/>
      <c r="L139" s="10"/>
      <c r="M139" s="10"/>
      <c r="N139" s="10"/>
      <c r="O139" s="10"/>
      <c r="P139" s="10"/>
    </row>
  </sheetData>
  <dataValidations count="4">
    <dataValidation type="list" allowBlank="1" showInputMessage="1" showErrorMessage="1" sqref="G9">
      <formula1>Legend!N1:N6</formula1>
    </dataValidation>
    <dataValidation type="list" allowBlank="1" showInputMessage="1" showErrorMessage="1" sqref="E15">
      <formula1>Legend!K2:K5</formula1>
    </dataValidation>
    <dataValidation type="list" allowBlank="1" showInputMessage="1" showErrorMessage="1" sqref="E9">
      <formula1>Legend!J2:J7</formula1>
    </dataValidation>
    <dataValidation type="list" allowBlank="1" showInputMessage="1" showErrorMessage="1" sqref="E11">
      <formula1>Legend!L2:L4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N7"/>
  <sheetViews>
    <sheetView topLeftCell="E1" zoomScale="85" zoomScaleNormal="85" workbookViewId="0">
      <pane ySplit="2" topLeftCell="A3" activePane="bottomLeft" state="frozen"/>
      <selection activeCell="B1" sqref="B1"/>
      <selection pane="bottomLeft" activeCell="J8" sqref="J8"/>
    </sheetView>
  </sheetViews>
  <sheetFormatPr baseColWidth="10" defaultRowHeight="14.25"/>
  <cols>
    <col min="3" max="3" width="44.5" style="12" customWidth="1"/>
    <col min="4" max="4" width="22.375" bestFit="1" customWidth="1"/>
    <col min="5" max="5" width="51.5" customWidth="1"/>
    <col min="12" max="12" width="12.125" bestFit="1" customWidth="1"/>
  </cols>
  <sheetData>
    <row r="1" spans="2:14" ht="15" thickBot="1">
      <c r="J1" t="s">
        <v>10</v>
      </c>
      <c r="N1">
        <v>0</v>
      </c>
    </row>
    <row r="2" spans="2:14" ht="77.25" customHeight="1" thickBot="1">
      <c r="B2" s="14" t="s">
        <v>42</v>
      </c>
      <c r="C2" s="17" t="s">
        <v>40</v>
      </c>
      <c r="E2" s="17" t="s">
        <v>93</v>
      </c>
      <c r="J2" t="s">
        <v>186</v>
      </c>
      <c r="K2" t="s">
        <v>19</v>
      </c>
      <c r="L2" t="s">
        <v>197</v>
      </c>
      <c r="N2">
        <v>1</v>
      </c>
    </row>
    <row r="3" spans="2:14">
      <c r="J3" t="s">
        <v>209</v>
      </c>
      <c r="K3" t="s">
        <v>25</v>
      </c>
      <c r="L3" t="s">
        <v>198</v>
      </c>
      <c r="N3">
        <v>2</v>
      </c>
    </row>
    <row r="4" spans="2:14">
      <c r="J4" t="s">
        <v>187</v>
      </c>
      <c r="K4" t="s">
        <v>199</v>
      </c>
      <c r="L4" t="s">
        <v>201</v>
      </c>
      <c r="N4">
        <v>3</v>
      </c>
    </row>
    <row r="5" spans="2:14">
      <c r="J5" t="s">
        <v>180</v>
      </c>
      <c r="N5">
        <v>4</v>
      </c>
    </row>
    <row r="6" spans="2:14">
      <c r="J6" t="s">
        <v>208</v>
      </c>
      <c r="N6">
        <v>5</v>
      </c>
    </row>
    <row r="7" spans="2:14">
      <c r="J7" t="s">
        <v>218</v>
      </c>
      <c r="N7">
        <v>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M1629"/>
  <sheetViews>
    <sheetView workbookViewId="0">
      <selection activeCell="F20" sqref="F20"/>
    </sheetView>
  </sheetViews>
  <sheetFormatPr baseColWidth="10" defaultColWidth="11.375" defaultRowHeight="14.25"/>
  <cols>
    <col min="1" max="2" width="11.375" style="1"/>
    <col min="3" max="3" width="17" style="1" bestFit="1" customWidth="1"/>
    <col min="4" max="4" width="43.125" style="1" customWidth="1"/>
    <col min="5" max="5" width="11.375" style="1"/>
    <col min="6" max="6" width="40.125" style="1" customWidth="1"/>
    <col min="7" max="19" width="11.375" style="1"/>
    <col min="20" max="20" width="24.125" style="1" bestFit="1" customWidth="1"/>
    <col min="21" max="16384" width="11.375" style="1"/>
  </cols>
  <sheetData>
    <row r="1" spans="1:13">
      <c r="F1" s="21"/>
    </row>
    <row r="2" spans="1:13">
      <c r="F2" s="21"/>
    </row>
    <row r="3" spans="1:13">
      <c r="F3" s="21"/>
    </row>
    <row r="4" spans="1:13">
      <c r="F4" s="21"/>
    </row>
    <row r="5" spans="1:13">
      <c r="F5" s="21"/>
    </row>
    <row r="6" spans="1:13">
      <c r="F6" s="21"/>
    </row>
    <row r="7" spans="1:13">
      <c r="F7" s="22" t="s">
        <v>196</v>
      </c>
    </row>
    <row r="8" spans="1:13">
      <c r="F8" s="21"/>
    </row>
    <row r="9" spans="1:13">
      <c r="F9" s="21"/>
    </row>
    <row r="10" spans="1:13" ht="15">
      <c r="A10" s="4" t="s">
        <v>3</v>
      </c>
      <c r="B10" s="4" t="s">
        <v>0</v>
      </c>
      <c r="C10" s="4" t="s">
        <v>2</v>
      </c>
      <c r="D10" s="5" t="s">
        <v>4</v>
      </c>
      <c r="E10" s="4" t="s">
        <v>5</v>
      </c>
      <c r="F10" s="5" t="s">
        <v>6</v>
      </c>
      <c r="G10" s="5" t="s">
        <v>7</v>
      </c>
      <c r="H10" s="5" t="s">
        <v>8</v>
      </c>
      <c r="I10" s="5" t="s">
        <v>9</v>
      </c>
      <c r="J10" s="5" t="s">
        <v>10</v>
      </c>
      <c r="K10" s="5" t="s">
        <v>11</v>
      </c>
      <c r="L10" s="5" t="s">
        <v>12</v>
      </c>
      <c r="M10" s="5" t="s">
        <v>13</v>
      </c>
    </row>
    <row r="11" spans="1:13">
      <c r="A11" s="1" t="str">
        <f>IF(E11&lt;&gt;"",TEXT(E11, "hh:mm"),"-")</f>
        <v>13:46</v>
      </c>
      <c r="B11" s="3">
        <f>IF(E11&lt;&gt;"",DATE(YEAR(E11),MONTH(E11), DAY(E11)),"-")</f>
        <v>45719</v>
      </c>
      <c r="C11" s="1" t="str">
        <f>LEFT(F11,16)</f>
        <v xml:space="preserve">Fiche N°1574146 </v>
      </c>
      <c r="D11" s="1" t="str">
        <f>IF(F11&lt;&gt;"",RIGHT(F11, LEN(F11) - FIND(" - ", F11) - 2),"")</f>
        <v>Liliane MENTREL</v>
      </c>
      <c r="E11" s="3">
        <v>45719.574097222219</v>
      </c>
      <c r="F11" s="1" t="s">
        <v>21</v>
      </c>
      <c r="H11" s="1" t="s">
        <v>14</v>
      </c>
      <c r="I11" s="1" t="s">
        <v>15</v>
      </c>
      <c r="J11" s="1" t="s">
        <v>16</v>
      </c>
      <c r="L11" s="6"/>
      <c r="M11" s="7"/>
    </row>
    <row r="12" spans="1:13">
      <c r="A12" s="1" t="str">
        <f t="shared" ref="A12:A21" si="0">IF(E12&lt;&gt;"",TEXT(E12, "hh:mm"),"-")</f>
        <v>13:48</v>
      </c>
      <c r="B12" s="3">
        <f t="shared" ref="B12:B21" si="1">IF(E12&lt;&gt;"",DATE(YEAR(E12),MONTH(E12), DAY(E12)),"-")</f>
        <v>45719</v>
      </c>
      <c r="C12" s="1" t="str">
        <f t="shared" ref="C12:C46" si="2">LEFT(F12,16)</f>
        <v xml:space="preserve">Fiche N°1574146 </v>
      </c>
      <c r="D12" s="1" t="str">
        <f t="shared" ref="D12:D74" si="3">IF(F12&lt;&gt;"",RIGHT(F12, LEN(F12) - FIND(" - ", F12) - 2),"")</f>
        <v>Liliane MENTREL</v>
      </c>
      <c r="E12" s="3">
        <v>45719.575498495367</v>
      </c>
      <c r="F12" s="1" t="s">
        <v>21</v>
      </c>
      <c r="H12" s="1" t="s">
        <v>17</v>
      </c>
      <c r="I12" s="1" t="s">
        <v>18</v>
      </c>
      <c r="J12" s="1" t="s">
        <v>19</v>
      </c>
      <c r="L12" s="6"/>
      <c r="M12" s="7"/>
    </row>
    <row r="13" spans="1:13">
      <c r="A13" s="1" t="str">
        <f t="shared" si="0"/>
        <v>14:31</v>
      </c>
      <c r="B13" s="3">
        <f t="shared" si="1"/>
        <v>45719</v>
      </c>
      <c r="C13" s="1" t="str">
        <f t="shared" si="2"/>
        <v xml:space="preserve">Fiche N°1344695 </v>
      </c>
      <c r="D13" s="1" t="str">
        <f t="shared" si="3"/>
        <v>Sylvie CHANSIGAUD</v>
      </c>
      <c r="E13" s="3">
        <v>45719.604906944442</v>
      </c>
      <c r="F13" s="1" t="s">
        <v>20</v>
      </c>
      <c r="H13" s="1" t="s">
        <v>17</v>
      </c>
      <c r="I13" s="1" t="s">
        <v>18</v>
      </c>
      <c r="J13" s="1" t="s">
        <v>19</v>
      </c>
      <c r="L13" s="6"/>
      <c r="M13" s="7"/>
    </row>
    <row r="14" spans="1:13">
      <c r="A14" s="1" t="str">
        <f t="shared" si="0"/>
        <v>08:01</v>
      </c>
      <c r="B14" s="3">
        <f t="shared" si="1"/>
        <v>45720</v>
      </c>
      <c r="C14" s="1" t="str">
        <f t="shared" si="2"/>
        <v xml:space="preserve">Fiche N°1574146 </v>
      </c>
      <c r="D14" s="1" t="str">
        <f t="shared" si="3"/>
        <v>Liliane MENTREL</v>
      </c>
      <c r="E14" s="3">
        <v>45720.334602314811</v>
      </c>
      <c r="F14" s="1" t="s">
        <v>21</v>
      </c>
      <c r="H14" s="1" t="s">
        <v>22</v>
      </c>
      <c r="I14" s="1" t="s">
        <v>22</v>
      </c>
      <c r="J14" s="1" t="s">
        <v>16</v>
      </c>
      <c r="K14" s="1" t="s">
        <v>22</v>
      </c>
      <c r="L14" s="6"/>
      <c r="M14" s="7"/>
    </row>
    <row r="15" spans="1:13">
      <c r="A15" s="1" t="str">
        <f t="shared" si="0"/>
        <v>08:46</v>
      </c>
      <c r="B15" s="3">
        <f t="shared" si="1"/>
        <v>45720</v>
      </c>
      <c r="C15" s="1" t="str">
        <f t="shared" si="2"/>
        <v>Fiche N°881113 -</v>
      </c>
      <c r="D15" s="1" t="str">
        <f t="shared" si="3"/>
        <v>Marie-pascale ARTON</v>
      </c>
      <c r="E15" s="3">
        <v>45720.36553101852</v>
      </c>
      <c r="F15" s="1" t="s">
        <v>23</v>
      </c>
      <c r="H15" s="1" t="s">
        <v>24</v>
      </c>
      <c r="I15" s="1" t="s">
        <v>25</v>
      </c>
      <c r="J15" s="1" t="s">
        <v>16</v>
      </c>
      <c r="K15" s="1" t="s">
        <v>26</v>
      </c>
      <c r="L15" s="6"/>
      <c r="M15" s="7"/>
    </row>
    <row r="16" spans="1:13">
      <c r="A16" s="1" t="str">
        <f t="shared" si="0"/>
        <v>09:30</v>
      </c>
      <c r="B16" s="3">
        <f t="shared" si="1"/>
        <v>45720</v>
      </c>
      <c r="C16" s="1" t="str">
        <f t="shared" si="2"/>
        <v xml:space="preserve">Fiche N°1575397 </v>
      </c>
      <c r="D16" s="1" t="str">
        <f t="shared" si="3"/>
        <v>Dominique VIGUIER</v>
      </c>
      <c r="E16" s="3">
        <v>45720.396469907406</v>
      </c>
      <c r="F16" s="1" t="s">
        <v>27</v>
      </c>
      <c r="H16" s="1" t="s">
        <v>28</v>
      </c>
      <c r="I16" s="1" t="s">
        <v>25</v>
      </c>
      <c r="J16" s="1" t="s">
        <v>16</v>
      </c>
      <c r="K16" s="1" t="s">
        <v>26</v>
      </c>
      <c r="L16" s="6"/>
      <c r="M16" s="7"/>
    </row>
    <row r="17" spans="1:13">
      <c r="A17" s="1" t="str">
        <f t="shared" si="0"/>
        <v>11:38</v>
      </c>
      <c r="B17" s="3">
        <f t="shared" si="1"/>
        <v>45720</v>
      </c>
      <c r="C17" s="1" t="str">
        <f t="shared" si="2"/>
        <v>Fiche N°314064 -</v>
      </c>
      <c r="D17" s="1" t="str">
        <f t="shared" si="3"/>
        <v>Didier LE PARC</v>
      </c>
      <c r="E17" s="3">
        <v>45720.485100231483</v>
      </c>
      <c r="F17" s="1" t="s">
        <v>29</v>
      </c>
      <c r="H17" s="1" t="s">
        <v>30</v>
      </c>
      <c r="I17" s="1" t="s">
        <v>19</v>
      </c>
      <c r="J17" s="1" t="s">
        <v>19</v>
      </c>
      <c r="K17" s="1" t="s">
        <v>31</v>
      </c>
      <c r="L17" s="6"/>
      <c r="M17" s="7"/>
    </row>
    <row r="18" spans="1:13">
      <c r="A18" s="1" t="str">
        <f t="shared" si="0"/>
        <v>09:25</v>
      </c>
      <c r="B18" s="3">
        <f t="shared" si="1"/>
        <v>45721</v>
      </c>
      <c r="C18" s="1" t="str">
        <f t="shared" si="2"/>
        <v xml:space="preserve">Fiche N°1611218 </v>
      </c>
      <c r="D18" s="1" t="str">
        <f t="shared" si="3"/>
        <v>DANIELLE SCANTLEBURY</v>
      </c>
      <c r="E18" s="3">
        <v>45721.392752893516</v>
      </c>
      <c r="F18" s="3" t="s">
        <v>32</v>
      </c>
      <c r="G18" s="8">
        <v>788703924</v>
      </c>
      <c r="H18" s="1" t="s">
        <v>33</v>
      </c>
      <c r="I18" s="1" t="s">
        <v>25</v>
      </c>
      <c r="J18" s="1" t="s">
        <v>19</v>
      </c>
      <c r="K18" s="1" t="s">
        <v>34</v>
      </c>
      <c r="L18" s="3"/>
      <c r="M18" s="9"/>
    </row>
    <row r="19" spans="1:13">
      <c r="A19" s="1" t="str">
        <f t="shared" si="0"/>
        <v>15:51</v>
      </c>
      <c r="B19" s="3">
        <f t="shared" si="1"/>
        <v>45721</v>
      </c>
      <c r="C19" s="1" t="str">
        <f t="shared" si="2"/>
        <v xml:space="preserve">Fiche N°1611218 </v>
      </c>
      <c r="D19" s="1" t="str">
        <f t="shared" si="3"/>
        <v>DANIELLE SCANTLEBURY</v>
      </c>
      <c r="E19" s="3">
        <v>45721.660718287036</v>
      </c>
      <c r="F19" s="1" t="s">
        <v>32</v>
      </c>
      <c r="G19" s="1" t="s">
        <v>35</v>
      </c>
      <c r="I19" s="1" t="s">
        <v>19</v>
      </c>
      <c r="J19" s="1" t="s">
        <v>19</v>
      </c>
      <c r="K19" s="1" t="s">
        <v>36</v>
      </c>
      <c r="L19" s="3">
        <v>45783</v>
      </c>
      <c r="M19" s="9">
        <v>0.45833333333333331</v>
      </c>
    </row>
    <row r="20" spans="1:13">
      <c r="A20" s="1" t="str">
        <f t="shared" si="0"/>
        <v>15:51</v>
      </c>
      <c r="B20" s="3">
        <f t="shared" si="1"/>
        <v>45722</v>
      </c>
      <c r="C20" s="1" t="str">
        <f t="shared" si="2"/>
        <v xml:space="preserve">Fiche N°1602797 </v>
      </c>
      <c r="D20" s="1" t="str">
        <f t="shared" si="3"/>
        <v>Somah françoise SIBAHI</v>
      </c>
      <c r="E20" s="3">
        <v>45722.660717592589</v>
      </c>
      <c r="F20" s="1" t="s">
        <v>179</v>
      </c>
      <c r="G20" s="1" t="s">
        <v>180</v>
      </c>
      <c r="I20" s="1" t="s">
        <v>25</v>
      </c>
      <c r="J20" s="1" t="s">
        <v>19</v>
      </c>
      <c r="K20" s="1" t="s">
        <v>181</v>
      </c>
      <c r="L20" s="6"/>
      <c r="M20" s="7"/>
    </row>
    <row r="21" spans="1:13">
      <c r="A21" s="1" t="str">
        <f t="shared" si="0"/>
        <v>09:01</v>
      </c>
      <c r="B21" s="3">
        <f t="shared" si="1"/>
        <v>45723</v>
      </c>
      <c r="C21" s="1" t="str">
        <f t="shared" si="2"/>
        <v xml:space="preserve">Fiche N°1602797 </v>
      </c>
      <c r="D21" s="1" t="str">
        <f t="shared" si="3"/>
        <v>Somah françoise SIBAHI</v>
      </c>
      <c r="E21" s="3">
        <v>45723.37599537037</v>
      </c>
      <c r="F21" s="1" t="s">
        <v>179</v>
      </c>
      <c r="G21" s="1">
        <v>750966098</v>
      </c>
      <c r="L21" s="6"/>
      <c r="M21" s="7"/>
    </row>
    <row r="22" spans="1:13">
      <c r="A22" s="1" t="str">
        <f t="shared" ref="A22:A84" si="4">IF(E22&lt;&gt;"",TEXT(E22, "hh:mm"),"-")</f>
        <v>09:16</v>
      </c>
      <c r="B22" s="3">
        <f t="shared" ref="B22:B84" si="5">IF(E22&lt;&gt;"",DATE(YEAR(E22),MONTH(E22), DAY(E22)),"-")</f>
        <v>45723</v>
      </c>
      <c r="C22" s="1" t="str">
        <f t="shared" si="2"/>
        <v xml:space="preserve">Fiche N°1599457 </v>
      </c>
      <c r="D22" s="1" t="str">
        <f t="shared" si="3"/>
        <v>MARIA DUARTE NUNES</v>
      </c>
      <c r="E22" s="3">
        <v>45723.386412037034</v>
      </c>
      <c r="F22" s="1" t="s">
        <v>182</v>
      </c>
      <c r="H22" s="1" t="s">
        <v>183</v>
      </c>
      <c r="L22" s="6"/>
      <c r="M22" s="7"/>
    </row>
    <row r="23" spans="1:13">
      <c r="A23" s="1" t="str">
        <f t="shared" si="4"/>
        <v>13:19</v>
      </c>
      <c r="B23" s="3">
        <f t="shared" si="5"/>
        <v>45723</v>
      </c>
      <c r="C23" s="1" t="str">
        <f t="shared" si="2"/>
        <v xml:space="preserve">Fiche N°1703273 </v>
      </c>
      <c r="D23" s="1" t="str">
        <f t="shared" si="3"/>
        <v>Christian PEYROT</v>
      </c>
      <c r="E23" s="3">
        <v>45723.555495949076</v>
      </c>
      <c r="F23" s="1" t="s">
        <v>189</v>
      </c>
      <c r="G23" s="1" t="s">
        <v>188</v>
      </c>
      <c r="H23" s="1">
        <v>0</v>
      </c>
      <c r="I23" s="1" t="s">
        <v>19</v>
      </c>
      <c r="J23" s="1" t="s">
        <v>190</v>
      </c>
      <c r="L23" s="6"/>
      <c r="M23" s="7"/>
    </row>
    <row r="24" spans="1:13">
      <c r="A24" s="1" t="str">
        <f t="shared" si="4"/>
        <v>13:20</v>
      </c>
      <c r="B24" s="3">
        <f t="shared" si="5"/>
        <v>45723</v>
      </c>
      <c r="C24" s="1" t="str">
        <f t="shared" si="2"/>
        <v xml:space="preserve">Fiche N°1703273 </v>
      </c>
      <c r="D24" s="1" t="str">
        <f t="shared" si="3"/>
        <v>Christian PEYROT</v>
      </c>
      <c r="E24" s="3">
        <v>45723.555557638887</v>
      </c>
      <c r="F24" s="1" t="s">
        <v>189</v>
      </c>
      <c r="G24" s="1" t="s">
        <v>188</v>
      </c>
      <c r="H24" s="1">
        <v>0</v>
      </c>
      <c r="I24" s="1" t="s">
        <v>19</v>
      </c>
      <c r="J24" s="1" t="s">
        <v>190</v>
      </c>
      <c r="L24" s="6"/>
      <c r="M24" s="7"/>
    </row>
    <row r="25" spans="1:13">
      <c r="A25" s="1" t="str">
        <f t="shared" si="4"/>
        <v>13:26</v>
      </c>
      <c r="B25" s="3">
        <f t="shared" si="5"/>
        <v>45723</v>
      </c>
      <c r="C25" s="1" t="str">
        <f t="shared" si="2"/>
        <v xml:space="preserve">Fiche N°1523857 </v>
      </c>
      <c r="D25" s="1" t="str">
        <f t="shared" si="3"/>
        <v>Mhajbi ABDELKEFI</v>
      </c>
      <c r="E25" s="3">
        <v>45723.560037962961</v>
      </c>
      <c r="F25" s="1" t="s">
        <v>192</v>
      </c>
      <c r="G25" s="1">
        <v>0</v>
      </c>
      <c r="H25" s="1">
        <v>0</v>
      </c>
      <c r="I25" s="1">
        <v>0</v>
      </c>
      <c r="J25" s="1" t="s">
        <v>193</v>
      </c>
      <c r="L25" s="6"/>
      <c r="M25" s="7"/>
    </row>
    <row r="26" spans="1:13">
      <c r="A26" s="1" t="str">
        <f t="shared" si="4"/>
        <v>13:37</v>
      </c>
      <c r="B26" s="3">
        <f t="shared" si="5"/>
        <v>45723</v>
      </c>
      <c r="C26" s="1" t="str">
        <f t="shared" si="2"/>
        <v xml:space="preserve">Fiche N°1599940 </v>
      </c>
      <c r="D26" s="1" t="str">
        <f t="shared" si="3"/>
        <v>Jean pierre MAUBECHE</v>
      </c>
      <c r="E26" s="3">
        <v>45723.567767708337</v>
      </c>
      <c r="F26" s="1" t="s">
        <v>194</v>
      </c>
      <c r="G26" s="1">
        <v>644259630</v>
      </c>
      <c r="H26" s="1">
        <v>0</v>
      </c>
      <c r="I26" s="1">
        <v>0</v>
      </c>
      <c r="J26" s="1" t="s">
        <v>193</v>
      </c>
      <c r="L26" s="6"/>
      <c r="M26" s="7"/>
    </row>
    <row r="27" spans="1:13">
      <c r="A27" s="1" t="str">
        <f t="shared" si="4"/>
        <v>13:46</v>
      </c>
      <c r="B27" s="3">
        <f t="shared" si="5"/>
        <v>45723</v>
      </c>
      <c r="C27" s="1" t="str">
        <f t="shared" si="2"/>
        <v xml:space="preserve">Fiche N°1614649 </v>
      </c>
      <c r="D27" s="1" t="str">
        <f t="shared" si="3"/>
        <v>Philippe NUBUL</v>
      </c>
      <c r="E27" s="3">
        <v>45723.573719560183</v>
      </c>
      <c r="F27" s="1" t="s">
        <v>195</v>
      </c>
      <c r="G27" s="1">
        <v>0</v>
      </c>
      <c r="H27" s="1">
        <v>0</v>
      </c>
      <c r="I27" s="1" t="s">
        <v>25</v>
      </c>
      <c r="J27" s="1" t="s">
        <v>193</v>
      </c>
      <c r="L27" s="6"/>
      <c r="M27" s="7"/>
    </row>
    <row r="28" spans="1:13">
      <c r="A28" s="1" t="str">
        <f t="shared" si="4"/>
        <v>14:02</v>
      </c>
      <c r="B28" s="3">
        <f t="shared" si="5"/>
        <v>45723</v>
      </c>
      <c r="C28" s="1" t="str">
        <f t="shared" si="2"/>
        <v xml:space="preserve">Fiche N°1599457 </v>
      </c>
      <c r="D28" s="1" t="str">
        <f t="shared" si="3"/>
        <v>MARIA DUARTE NUNES</v>
      </c>
      <c r="E28" s="3">
        <v>45723.584991087962</v>
      </c>
      <c r="F28" s="1" t="s">
        <v>182</v>
      </c>
      <c r="G28" s="1" t="s">
        <v>198</v>
      </c>
      <c r="H28" s="1">
        <v>0</v>
      </c>
      <c r="I28" s="1" t="s">
        <v>199</v>
      </c>
      <c r="J28" s="1" t="s">
        <v>200</v>
      </c>
      <c r="L28" s="6"/>
      <c r="M28" s="7"/>
    </row>
    <row r="29" spans="1:13">
      <c r="A29" s="1" t="str">
        <f t="shared" si="4"/>
        <v>14:59</v>
      </c>
      <c r="B29" s="3">
        <f t="shared" si="5"/>
        <v>45723</v>
      </c>
      <c r="C29" s="1" t="str">
        <f t="shared" si="2"/>
        <v xml:space="preserve">Fiche N°1630171 </v>
      </c>
      <c r="D29" s="1" t="str">
        <f t="shared" si="3"/>
        <v>Micheline TARTAG</v>
      </c>
      <c r="E29" s="3">
        <v>45723.624636921297</v>
      </c>
      <c r="F29" s="1" t="s">
        <v>191</v>
      </c>
      <c r="G29" s="1" t="s">
        <v>201</v>
      </c>
      <c r="H29" s="1">
        <v>0</v>
      </c>
      <c r="I29" s="1" t="s">
        <v>199</v>
      </c>
      <c r="J29" s="1" t="s">
        <v>202</v>
      </c>
      <c r="L29" s="6"/>
      <c r="M29" s="7"/>
    </row>
    <row r="30" spans="1:13">
      <c r="A30" s="1" t="str">
        <f t="shared" si="4"/>
        <v>15:24</v>
      </c>
      <c r="B30" s="3">
        <f t="shared" si="5"/>
        <v>45723</v>
      </c>
      <c r="C30" s="1" t="str">
        <f t="shared" si="2"/>
        <v xml:space="preserve">Fiche N°1630171 </v>
      </c>
      <c r="D30" s="1" t="str">
        <f t="shared" si="3"/>
        <v>Micheline TARTAG</v>
      </c>
      <c r="E30" s="3">
        <v>45723.642347569446</v>
      </c>
      <c r="F30" s="1" t="s">
        <v>191</v>
      </c>
      <c r="G30" s="1" t="s">
        <v>201</v>
      </c>
      <c r="H30" s="1">
        <v>0</v>
      </c>
      <c r="I30" s="1" t="s">
        <v>19</v>
      </c>
      <c r="J30" s="1" t="s">
        <v>203</v>
      </c>
      <c r="L30" s="6"/>
      <c r="M30" s="7"/>
    </row>
    <row r="31" spans="1:13">
      <c r="A31" s="1" t="str">
        <f t="shared" si="4"/>
        <v>15:47</v>
      </c>
      <c r="B31" s="3">
        <f t="shared" si="5"/>
        <v>45723</v>
      </c>
      <c r="C31" s="1" t="str">
        <f t="shared" si="2"/>
        <v xml:space="preserve">Fiche N°1625831 </v>
      </c>
      <c r="D31" s="1" t="str">
        <f t="shared" si="3"/>
        <v>Danielle DELRIEU</v>
      </c>
      <c r="E31" s="3">
        <v>45723.658323842596</v>
      </c>
      <c r="F31" s="1" t="s">
        <v>204</v>
      </c>
      <c r="G31" s="1" t="s">
        <v>201</v>
      </c>
      <c r="H31" s="1">
        <v>0</v>
      </c>
      <c r="I31" s="1" t="s">
        <v>19</v>
      </c>
      <c r="J31" s="1" t="s">
        <v>205</v>
      </c>
      <c r="L31" s="6"/>
      <c r="M31" s="7"/>
    </row>
    <row r="32" spans="1:13">
      <c r="A32" s="1" t="str">
        <f t="shared" si="4"/>
        <v>08:38</v>
      </c>
      <c r="B32" s="3">
        <f t="shared" si="5"/>
        <v>45724</v>
      </c>
      <c r="C32" s="1" t="str">
        <f t="shared" si="2"/>
        <v xml:space="preserve">Fiche N°1503385 </v>
      </c>
      <c r="D32" s="1" t="str">
        <f t="shared" si="3"/>
        <v>DOMINIQUE DUBOIS</v>
      </c>
      <c r="E32" s="3">
        <v>45724.35998587963</v>
      </c>
      <c r="F32" s="1" t="s">
        <v>206</v>
      </c>
      <c r="G32" s="1" t="s">
        <v>197</v>
      </c>
      <c r="H32" s="1" t="s">
        <v>211</v>
      </c>
      <c r="I32" s="1" t="s">
        <v>19</v>
      </c>
      <c r="J32" s="1" t="s">
        <v>210</v>
      </c>
      <c r="L32" s="6"/>
      <c r="M32" s="7"/>
    </row>
    <row r="33" spans="1:13">
      <c r="A33" s="1" t="str">
        <f t="shared" si="4"/>
        <v>09:48</v>
      </c>
      <c r="B33" s="3">
        <f t="shared" si="5"/>
        <v>45724</v>
      </c>
      <c r="C33" s="1" t="str">
        <f t="shared" si="2"/>
        <v xml:space="preserve">Fiche N°1594927 </v>
      </c>
      <c r="D33" s="1" t="str">
        <f t="shared" si="3"/>
        <v>Michel MANGIN</v>
      </c>
      <c r="E33" s="3">
        <v>45724.408953124999</v>
      </c>
      <c r="F33" s="1" t="s">
        <v>212</v>
      </c>
      <c r="G33" s="1" t="s">
        <v>197</v>
      </c>
      <c r="H33" s="1" t="s">
        <v>213</v>
      </c>
      <c r="I33" s="1" t="s">
        <v>19</v>
      </c>
      <c r="J33" s="1" t="s">
        <v>214</v>
      </c>
      <c r="L33" s="6"/>
      <c r="M33" s="7"/>
    </row>
    <row r="34" spans="1:13">
      <c r="A34" s="1" t="str">
        <f t="shared" si="4"/>
        <v>09:50</v>
      </c>
      <c r="B34" s="3">
        <f t="shared" si="5"/>
        <v>45724</v>
      </c>
      <c r="C34" s="1" t="str">
        <f t="shared" si="2"/>
        <v xml:space="preserve">Fiche N°1594927 </v>
      </c>
      <c r="D34" s="1" t="str">
        <f t="shared" si="3"/>
        <v>Michel MANGIN</v>
      </c>
      <c r="E34" s="3">
        <v>45724.40972476852</v>
      </c>
      <c r="F34" s="1" t="s">
        <v>212</v>
      </c>
      <c r="G34" s="1" t="s">
        <v>197</v>
      </c>
      <c r="H34" s="1" t="s">
        <v>213</v>
      </c>
      <c r="I34" s="1" t="s">
        <v>19</v>
      </c>
      <c r="J34" s="1" t="s">
        <v>214</v>
      </c>
    </row>
    <row r="35" spans="1:13">
      <c r="A35" s="1" t="str">
        <f t="shared" si="4"/>
        <v>09:55</v>
      </c>
      <c r="B35" s="3">
        <f t="shared" si="5"/>
        <v>45724</v>
      </c>
      <c r="C35" s="1" t="str">
        <f t="shared" si="2"/>
        <v xml:space="preserve">Fiche N°1637269 </v>
      </c>
      <c r="D35" s="1" t="str">
        <f t="shared" si="3"/>
        <v>Serge COULON</v>
      </c>
      <c r="E35" s="3">
        <v>45724.41339386574</v>
      </c>
      <c r="F35" s="1" t="s">
        <v>216</v>
      </c>
      <c r="G35" s="1" t="s">
        <v>201</v>
      </c>
      <c r="H35" s="1" t="s">
        <v>213</v>
      </c>
      <c r="I35" s="1" t="s">
        <v>19</v>
      </c>
      <c r="J35" s="1" t="s">
        <v>217</v>
      </c>
    </row>
    <row r="36" spans="1:13">
      <c r="A36" s="1" t="str">
        <f t="shared" si="4"/>
        <v>10:29</v>
      </c>
      <c r="B36" s="3">
        <f t="shared" si="5"/>
        <v>45724</v>
      </c>
      <c r="C36" s="1" t="str">
        <f t="shared" si="2"/>
        <v xml:space="preserve">Fiche N°1637269 </v>
      </c>
      <c r="D36" s="1" t="str">
        <f t="shared" si="3"/>
        <v>Serge COULON</v>
      </c>
      <c r="E36" s="3">
        <v>45724.436941087966</v>
      </c>
      <c r="F36" s="1" t="s">
        <v>216</v>
      </c>
      <c r="G36" s="1" t="s">
        <v>201</v>
      </c>
      <c r="H36" s="1" t="s">
        <v>219</v>
      </c>
      <c r="I36" s="1" t="s">
        <v>25</v>
      </c>
      <c r="J36" s="1" t="s">
        <v>220</v>
      </c>
    </row>
    <row r="37" spans="1:13">
      <c r="A37" s="1" t="str">
        <f t="shared" si="4"/>
        <v>11:11</v>
      </c>
      <c r="B37" s="3">
        <f t="shared" si="5"/>
        <v>45724</v>
      </c>
      <c r="C37" s="1" t="str">
        <f t="shared" si="2"/>
        <v xml:space="preserve">Fiche N°1594927 </v>
      </c>
      <c r="D37" s="1" t="str">
        <f t="shared" si="3"/>
        <v>Michel MANGIN</v>
      </c>
      <c r="E37" s="3">
        <v>45724.466364120373</v>
      </c>
      <c r="F37" s="1" t="s">
        <v>212</v>
      </c>
      <c r="G37" s="1" t="s">
        <v>201</v>
      </c>
      <c r="H37" s="1" t="s">
        <v>18</v>
      </c>
      <c r="I37" s="1" t="s">
        <v>25</v>
      </c>
      <c r="J37" s="1" t="s">
        <v>221</v>
      </c>
    </row>
    <row r="38" spans="1:13">
      <c r="A38" s="1" t="str">
        <f t="shared" si="4"/>
        <v>-</v>
      </c>
      <c r="B38" s="3" t="str">
        <f t="shared" si="5"/>
        <v>-</v>
      </c>
      <c r="C38" s="1" t="str">
        <f t="shared" si="2"/>
        <v/>
      </c>
      <c r="D38" s="1" t="str">
        <f t="shared" si="3"/>
        <v/>
      </c>
      <c r="E38" s="3"/>
    </row>
    <row r="39" spans="1:13">
      <c r="A39" s="1" t="str">
        <f t="shared" si="4"/>
        <v>-</v>
      </c>
      <c r="B39" s="3" t="str">
        <f t="shared" si="5"/>
        <v>-</v>
      </c>
      <c r="C39" s="1" t="str">
        <f t="shared" si="2"/>
        <v/>
      </c>
      <c r="D39" s="1" t="str">
        <f t="shared" si="3"/>
        <v/>
      </c>
      <c r="E39" s="3"/>
    </row>
    <row r="40" spans="1:13">
      <c r="A40" s="1" t="str">
        <f t="shared" si="4"/>
        <v>-</v>
      </c>
      <c r="B40" s="3" t="str">
        <f t="shared" si="5"/>
        <v>-</v>
      </c>
      <c r="C40" s="1" t="str">
        <f t="shared" si="2"/>
        <v/>
      </c>
      <c r="D40" s="1" t="str">
        <f t="shared" si="3"/>
        <v/>
      </c>
      <c r="E40" s="3"/>
    </row>
    <row r="41" spans="1:13">
      <c r="A41" s="1" t="str">
        <f t="shared" si="4"/>
        <v>-</v>
      </c>
      <c r="B41" s="3" t="str">
        <f t="shared" si="5"/>
        <v>-</v>
      </c>
      <c r="C41" s="1" t="str">
        <f t="shared" si="2"/>
        <v/>
      </c>
      <c r="D41" s="1" t="str">
        <f t="shared" si="3"/>
        <v/>
      </c>
      <c r="E41" s="3"/>
    </row>
    <row r="42" spans="1:13">
      <c r="A42" s="1" t="str">
        <f t="shared" si="4"/>
        <v>-</v>
      </c>
      <c r="B42" s="3" t="str">
        <f t="shared" si="5"/>
        <v>-</v>
      </c>
      <c r="C42" s="1" t="str">
        <f t="shared" si="2"/>
        <v/>
      </c>
      <c r="D42" s="1" t="str">
        <f t="shared" si="3"/>
        <v/>
      </c>
    </row>
    <row r="43" spans="1:13">
      <c r="A43" s="1" t="str">
        <f t="shared" si="4"/>
        <v>-</v>
      </c>
      <c r="B43" s="3" t="str">
        <f t="shared" si="5"/>
        <v>-</v>
      </c>
      <c r="C43" s="1" t="str">
        <f t="shared" si="2"/>
        <v/>
      </c>
      <c r="D43" s="1" t="str">
        <f t="shared" si="3"/>
        <v/>
      </c>
    </row>
    <row r="44" spans="1:13">
      <c r="A44" s="1" t="str">
        <f t="shared" si="4"/>
        <v>-</v>
      </c>
      <c r="B44" s="3" t="str">
        <f t="shared" si="5"/>
        <v>-</v>
      </c>
      <c r="C44" s="1" t="str">
        <f t="shared" si="2"/>
        <v/>
      </c>
      <c r="D44" s="1" t="str">
        <f t="shared" si="3"/>
        <v/>
      </c>
    </row>
    <row r="45" spans="1:13">
      <c r="A45" s="1" t="str">
        <f t="shared" si="4"/>
        <v>-</v>
      </c>
      <c r="B45" s="3" t="str">
        <f t="shared" si="5"/>
        <v>-</v>
      </c>
      <c r="C45" s="1" t="str">
        <f t="shared" si="2"/>
        <v/>
      </c>
      <c r="D45" s="1" t="str">
        <f t="shared" si="3"/>
        <v/>
      </c>
    </row>
    <row r="46" spans="1:13">
      <c r="A46" s="1" t="str">
        <f t="shared" si="4"/>
        <v>-</v>
      </c>
      <c r="B46" s="3" t="str">
        <f t="shared" si="5"/>
        <v>-</v>
      </c>
      <c r="C46" s="1" t="str">
        <f t="shared" si="2"/>
        <v/>
      </c>
      <c r="D46" s="1" t="str">
        <f t="shared" si="3"/>
        <v/>
      </c>
    </row>
    <row r="47" spans="1:13">
      <c r="A47" s="1" t="str">
        <f t="shared" si="4"/>
        <v>-</v>
      </c>
      <c r="B47" s="3" t="str">
        <f t="shared" si="5"/>
        <v>-</v>
      </c>
      <c r="D47" s="1" t="str">
        <f t="shared" si="3"/>
        <v/>
      </c>
    </row>
    <row r="48" spans="1:13">
      <c r="A48" s="1" t="str">
        <f t="shared" si="4"/>
        <v>-</v>
      </c>
      <c r="B48" s="3" t="str">
        <f t="shared" si="5"/>
        <v>-</v>
      </c>
      <c r="D48" s="1" t="str">
        <f t="shared" si="3"/>
        <v/>
      </c>
    </row>
    <row r="49" spans="1:4">
      <c r="A49" s="1" t="str">
        <f t="shared" si="4"/>
        <v>-</v>
      </c>
      <c r="B49" s="3" t="str">
        <f t="shared" si="5"/>
        <v>-</v>
      </c>
      <c r="D49" s="1" t="str">
        <f t="shared" si="3"/>
        <v/>
      </c>
    </row>
    <row r="50" spans="1:4">
      <c r="A50" s="1" t="str">
        <f t="shared" si="4"/>
        <v>-</v>
      </c>
      <c r="B50" s="3" t="str">
        <f t="shared" si="5"/>
        <v>-</v>
      </c>
      <c r="D50" s="1" t="str">
        <f t="shared" si="3"/>
        <v/>
      </c>
    </row>
    <row r="51" spans="1:4">
      <c r="A51" s="1" t="str">
        <f t="shared" si="4"/>
        <v>-</v>
      </c>
      <c r="B51" s="3" t="str">
        <f t="shared" si="5"/>
        <v>-</v>
      </c>
      <c r="D51" s="1" t="str">
        <f t="shared" si="3"/>
        <v/>
      </c>
    </row>
    <row r="52" spans="1:4">
      <c r="A52" s="1" t="str">
        <f t="shared" si="4"/>
        <v>-</v>
      </c>
      <c r="B52" s="3" t="str">
        <f t="shared" si="5"/>
        <v>-</v>
      </c>
      <c r="D52" s="1" t="str">
        <f t="shared" si="3"/>
        <v/>
      </c>
    </row>
    <row r="53" spans="1:4">
      <c r="A53" s="1" t="str">
        <f t="shared" si="4"/>
        <v>-</v>
      </c>
      <c r="B53" s="3" t="str">
        <f t="shared" si="5"/>
        <v>-</v>
      </c>
      <c r="D53" s="1" t="str">
        <f t="shared" si="3"/>
        <v/>
      </c>
    </row>
    <row r="54" spans="1:4">
      <c r="A54" s="1" t="str">
        <f t="shared" si="4"/>
        <v>-</v>
      </c>
      <c r="B54" s="3" t="str">
        <f t="shared" si="5"/>
        <v>-</v>
      </c>
      <c r="D54" s="1" t="str">
        <f t="shared" si="3"/>
        <v/>
      </c>
    </row>
    <row r="55" spans="1:4">
      <c r="A55" s="1" t="str">
        <f t="shared" si="4"/>
        <v>-</v>
      </c>
      <c r="B55" s="3" t="str">
        <f t="shared" si="5"/>
        <v>-</v>
      </c>
      <c r="D55" s="1" t="str">
        <f t="shared" si="3"/>
        <v/>
      </c>
    </row>
    <row r="56" spans="1:4">
      <c r="A56" s="1" t="str">
        <f t="shared" si="4"/>
        <v>-</v>
      </c>
      <c r="B56" s="3" t="str">
        <f t="shared" si="5"/>
        <v>-</v>
      </c>
      <c r="D56" s="1" t="str">
        <f t="shared" si="3"/>
        <v/>
      </c>
    </row>
    <row r="57" spans="1:4">
      <c r="A57" s="1" t="str">
        <f t="shared" si="4"/>
        <v>-</v>
      </c>
      <c r="B57" s="3" t="str">
        <f t="shared" si="5"/>
        <v>-</v>
      </c>
      <c r="D57" s="1" t="str">
        <f t="shared" si="3"/>
        <v/>
      </c>
    </row>
    <row r="58" spans="1:4">
      <c r="A58" s="1" t="str">
        <f t="shared" si="4"/>
        <v>-</v>
      </c>
      <c r="B58" s="3" t="str">
        <f t="shared" si="5"/>
        <v>-</v>
      </c>
      <c r="D58" s="1" t="str">
        <f t="shared" si="3"/>
        <v/>
      </c>
    </row>
    <row r="59" spans="1:4">
      <c r="A59" s="1" t="str">
        <f t="shared" si="4"/>
        <v>-</v>
      </c>
      <c r="B59" s="3" t="str">
        <f t="shared" si="5"/>
        <v>-</v>
      </c>
      <c r="D59" s="1" t="str">
        <f t="shared" si="3"/>
        <v/>
      </c>
    </row>
    <row r="60" spans="1:4">
      <c r="A60" s="1" t="str">
        <f t="shared" si="4"/>
        <v>-</v>
      </c>
      <c r="B60" s="3" t="str">
        <f t="shared" si="5"/>
        <v>-</v>
      </c>
      <c r="D60" s="1" t="str">
        <f t="shared" si="3"/>
        <v/>
      </c>
    </row>
    <row r="61" spans="1:4">
      <c r="A61" s="1" t="str">
        <f t="shared" si="4"/>
        <v>-</v>
      </c>
      <c r="B61" s="3" t="str">
        <f t="shared" si="5"/>
        <v>-</v>
      </c>
      <c r="D61" s="1" t="str">
        <f t="shared" si="3"/>
        <v/>
      </c>
    </row>
    <row r="62" spans="1:4">
      <c r="A62" s="1" t="str">
        <f t="shared" si="4"/>
        <v>-</v>
      </c>
      <c r="B62" s="3" t="str">
        <f t="shared" si="5"/>
        <v>-</v>
      </c>
      <c r="D62" s="1" t="str">
        <f t="shared" si="3"/>
        <v/>
      </c>
    </row>
    <row r="63" spans="1:4">
      <c r="A63" s="1" t="str">
        <f t="shared" si="4"/>
        <v>-</v>
      </c>
      <c r="B63" s="3" t="str">
        <f t="shared" si="5"/>
        <v>-</v>
      </c>
      <c r="D63" s="1" t="str">
        <f t="shared" si="3"/>
        <v/>
      </c>
    </row>
    <row r="64" spans="1:4">
      <c r="A64" s="1" t="str">
        <f t="shared" si="4"/>
        <v>-</v>
      </c>
      <c r="B64" s="3" t="str">
        <f t="shared" si="5"/>
        <v>-</v>
      </c>
      <c r="D64" s="1" t="str">
        <f t="shared" si="3"/>
        <v/>
      </c>
    </row>
    <row r="65" spans="1:4">
      <c r="A65" s="1" t="str">
        <f t="shared" si="4"/>
        <v>-</v>
      </c>
      <c r="B65" s="3" t="str">
        <f t="shared" si="5"/>
        <v>-</v>
      </c>
      <c r="D65" s="1" t="str">
        <f t="shared" si="3"/>
        <v/>
      </c>
    </row>
    <row r="66" spans="1:4">
      <c r="A66" s="1" t="str">
        <f t="shared" si="4"/>
        <v>-</v>
      </c>
      <c r="B66" s="3" t="str">
        <f t="shared" si="5"/>
        <v>-</v>
      </c>
      <c r="D66" s="1" t="str">
        <f t="shared" si="3"/>
        <v/>
      </c>
    </row>
    <row r="67" spans="1:4">
      <c r="A67" s="1" t="str">
        <f t="shared" si="4"/>
        <v>-</v>
      </c>
      <c r="B67" s="3" t="str">
        <f t="shared" si="5"/>
        <v>-</v>
      </c>
      <c r="D67" s="1" t="str">
        <f t="shared" si="3"/>
        <v/>
      </c>
    </row>
    <row r="68" spans="1:4">
      <c r="A68" s="1" t="str">
        <f t="shared" si="4"/>
        <v>-</v>
      </c>
      <c r="B68" s="3" t="str">
        <f t="shared" si="5"/>
        <v>-</v>
      </c>
      <c r="D68" s="1" t="str">
        <f t="shared" si="3"/>
        <v/>
      </c>
    </row>
    <row r="69" spans="1:4">
      <c r="A69" s="1" t="str">
        <f t="shared" si="4"/>
        <v>-</v>
      </c>
      <c r="B69" s="3" t="str">
        <f t="shared" si="5"/>
        <v>-</v>
      </c>
      <c r="D69" s="1" t="str">
        <f t="shared" si="3"/>
        <v/>
      </c>
    </row>
    <row r="70" spans="1:4">
      <c r="A70" s="1" t="str">
        <f t="shared" si="4"/>
        <v>-</v>
      </c>
      <c r="B70" s="3" t="str">
        <f t="shared" si="5"/>
        <v>-</v>
      </c>
      <c r="D70" s="1" t="str">
        <f t="shared" si="3"/>
        <v/>
      </c>
    </row>
    <row r="71" spans="1:4">
      <c r="A71" s="1" t="str">
        <f t="shared" si="4"/>
        <v>-</v>
      </c>
      <c r="B71" s="3" t="str">
        <f t="shared" si="5"/>
        <v>-</v>
      </c>
      <c r="D71" s="1" t="str">
        <f t="shared" si="3"/>
        <v/>
      </c>
    </row>
    <row r="72" spans="1:4">
      <c r="A72" s="1" t="str">
        <f t="shared" si="4"/>
        <v>-</v>
      </c>
      <c r="B72" s="3" t="str">
        <f t="shared" si="5"/>
        <v>-</v>
      </c>
      <c r="D72" s="1" t="str">
        <f t="shared" si="3"/>
        <v/>
      </c>
    </row>
    <row r="73" spans="1:4">
      <c r="A73" s="1" t="str">
        <f t="shared" si="4"/>
        <v>-</v>
      </c>
      <c r="B73" s="3" t="str">
        <f t="shared" si="5"/>
        <v>-</v>
      </c>
      <c r="D73" s="1" t="str">
        <f t="shared" si="3"/>
        <v/>
      </c>
    </row>
    <row r="74" spans="1:4">
      <c r="A74" s="1" t="str">
        <f t="shared" si="4"/>
        <v>-</v>
      </c>
      <c r="B74" s="3" t="str">
        <f t="shared" si="5"/>
        <v>-</v>
      </c>
      <c r="D74" s="1" t="str">
        <f t="shared" si="3"/>
        <v/>
      </c>
    </row>
    <row r="75" spans="1:4">
      <c r="A75" s="1" t="str">
        <f t="shared" si="4"/>
        <v>-</v>
      </c>
      <c r="B75" s="3" t="str">
        <f t="shared" si="5"/>
        <v>-</v>
      </c>
      <c r="D75" s="1" t="str">
        <f t="shared" ref="D75:D138" si="6">IF(F75&lt;&gt;"",RIGHT(F75, LEN(F75) - FIND(" - ", F75) - 2),"")</f>
        <v/>
      </c>
    </row>
    <row r="76" spans="1:4">
      <c r="A76" s="1" t="str">
        <f t="shared" si="4"/>
        <v>-</v>
      </c>
      <c r="B76" s="3" t="str">
        <f t="shared" si="5"/>
        <v>-</v>
      </c>
      <c r="D76" s="1" t="str">
        <f t="shared" si="6"/>
        <v/>
      </c>
    </row>
    <row r="77" spans="1:4">
      <c r="A77" s="1" t="str">
        <f t="shared" si="4"/>
        <v>-</v>
      </c>
      <c r="B77" s="3" t="str">
        <f t="shared" si="5"/>
        <v>-</v>
      </c>
      <c r="D77" s="1" t="str">
        <f t="shared" si="6"/>
        <v/>
      </c>
    </row>
    <row r="78" spans="1:4">
      <c r="A78" s="1" t="str">
        <f t="shared" si="4"/>
        <v>-</v>
      </c>
      <c r="B78" s="3" t="str">
        <f t="shared" si="5"/>
        <v>-</v>
      </c>
      <c r="D78" s="1" t="str">
        <f t="shared" si="6"/>
        <v/>
      </c>
    </row>
    <row r="79" spans="1:4">
      <c r="A79" s="1" t="str">
        <f t="shared" si="4"/>
        <v>-</v>
      </c>
      <c r="B79" s="3" t="str">
        <f t="shared" si="5"/>
        <v>-</v>
      </c>
      <c r="D79" s="1" t="str">
        <f t="shared" si="6"/>
        <v/>
      </c>
    </row>
    <row r="80" spans="1:4">
      <c r="A80" s="1" t="str">
        <f t="shared" si="4"/>
        <v>-</v>
      </c>
      <c r="B80" s="3" t="str">
        <f t="shared" si="5"/>
        <v>-</v>
      </c>
      <c r="D80" s="1" t="str">
        <f t="shared" si="6"/>
        <v/>
      </c>
    </row>
    <row r="81" spans="1:4">
      <c r="A81" s="1" t="str">
        <f t="shared" si="4"/>
        <v>-</v>
      </c>
      <c r="B81" s="3" t="str">
        <f t="shared" si="5"/>
        <v>-</v>
      </c>
      <c r="D81" s="1" t="str">
        <f t="shared" si="6"/>
        <v/>
      </c>
    </row>
    <row r="82" spans="1:4">
      <c r="A82" s="1" t="str">
        <f t="shared" si="4"/>
        <v>-</v>
      </c>
      <c r="B82" s="3" t="str">
        <f t="shared" si="5"/>
        <v>-</v>
      </c>
      <c r="D82" s="1" t="str">
        <f t="shared" si="6"/>
        <v/>
      </c>
    </row>
    <row r="83" spans="1:4">
      <c r="A83" s="1" t="str">
        <f t="shared" si="4"/>
        <v>-</v>
      </c>
      <c r="B83" s="3" t="str">
        <f t="shared" si="5"/>
        <v>-</v>
      </c>
      <c r="D83" s="1" t="str">
        <f t="shared" si="6"/>
        <v/>
      </c>
    </row>
    <row r="84" spans="1:4">
      <c r="A84" s="1" t="str">
        <f t="shared" si="4"/>
        <v>-</v>
      </c>
      <c r="B84" s="3" t="str">
        <f t="shared" si="5"/>
        <v>-</v>
      </c>
      <c r="D84" s="1" t="str">
        <f t="shared" si="6"/>
        <v/>
      </c>
    </row>
    <row r="85" spans="1:4">
      <c r="A85" s="1" t="str">
        <f t="shared" ref="A85:A148" si="7">IF(E85&lt;&gt;"",TEXT(E85, "hh:mm"),"-")</f>
        <v>-</v>
      </c>
      <c r="B85" s="3" t="str">
        <f t="shared" ref="B85:B148" si="8">IF(E85&lt;&gt;"",DATE(YEAR(E85),MONTH(E85), DAY(E85)),"-")</f>
        <v>-</v>
      </c>
      <c r="D85" s="1" t="str">
        <f t="shared" si="6"/>
        <v/>
      </c>
    </row>
    <row r="86" spans="1:4">
      <c r="A86" s="1" t="str">
        <f t="shared" si="7"/>
        <v>-</v>
      </c>
      <c r="B86" s="3" t="str">
        <f t="shared" si="8"/>
        <v>-</v>
      </c>
      <c r="D86" s="1" t="str">
        <f t="shared" si="6"/>
        <v/>
      </c>
    </row>
    <row r="87" spans="1:4">
      <c r="A87" s="1" t="str">
        <f t="shared" si="7"/>
        <v>-</v>
      </c>
      <c r="B87" s="3" t="str">
        <f t="shared" si="8"/>
        <v>-</v>
      </c>
      <c r="D87" s="1" t="str">
        <f t="shared" si="6"/>
        <v/>
      </c>
    </row>
    <row r="88" spans="1:4">
      <c r="A88" s="1" t="str">
        <f t="shared" si="7"/>
        <v>-</v>
      </c>
      <c r="B88" s="3" t="str">
        <f t="shared" si="8"/>
        <v>-</v>
      </c>
      <c r="D88" s="1" t="str">
        <f t="shared" si="6"/>
        <v/>
      </c>
    </row>
    <row r="89" spans="1:4">
      <c r="A89" s="1" t="str">
        <f t="shared" si="7"/>
        <v>-</v>
      </c>
      <c r="B89" s="3" t="str">
        <f t="shared" si="8"/>
        <v>-</v>
      </c>
      <c r="D89" s="1" t="str">
        <f t="shared" si="6"/>
        <v/>
      </c>
    </row>
    <row r="90" spans="1:4">
      <c r="A90" s="1" t="str">
        <f t="shared" si="7"/>
        <v>-</v>
      </c>
      <c r="B90" s="3" t="str">
        <f t="shared" si="8"/>
        <v>-</v>
      </c>
      <c r="D90" s="1" t="str">
        <f t="shared" si="6"/>
        <v/>
      </c>
    </row>
    <row r="91" spans="1:4">
      <c r="A91" s="1" t="str">
        <f t="shared" si="7"/>
        <v>-</v>
      </c>
      <c r="B91" s="3" t="str">
        <f t="shared" si="8"/>
        <v>-</v>
      </c>
      <c r="D91" s="1" t="str">
        <f t="shared" si="6"/>
        <v/>
      </c>
    </row>
    <row r="92" spans="1:4">
      <c r="A92" s="1" t="str">
        <f t="shared" si="7"/>
        <v>-</v>
      </c>
      <c r="B92" s="3" t="str">
        <f t="shared" si="8"/>
        <v>-</v>
      </c>
      <c r="D92" s="1" t="str">
        <f t="shared" si="6"/>
        <v/>
      </c>
    </row>
    <row r="93" spans="1:4">
      <c r="A93" s="1" t="str">
        <f t="shared" si="7"/>
        <v>-</v>
      </c>
      <c r="B93" s="3" t="str">
        <f t="shared" si="8"/>
        <v>-</v>
      </c>
      <c r="D93" s="1" t="str">
        <f t="shared" si="6"/>
        <v/>
      </c>
    </row>
    <row r="94" spans="1:4">
      <c r="A94" s="1" t="str">
        <f t="shared" si="7"/>
        <v>-</v>
      </c>
      <c r="B94" s="3" t="str">
        <f t="shared" si="8"/>
        <v>-</v>
      </c>
      <c r="D94" s="1" t="str">
        <f t="shared" si="6"/>
        <v/>
      </c>
    </row>
    <row r="95" spans="1:4">
      <c r="A95" s="1" t="str">
        <f t="shared" si="7"/>
        <v>-</v>
      </c>
      <c r="B95" s="3" t="str">
        <f t="shared" si="8"/>
        <v>-</v>
      </c>
      <c r="D95" s="1" t="str">
        <f t="shared" si="6"/>
        <v/>
      </c>
    </row>
    <row r="96" spans="1:4">
      <c r="A96" s="1" t="str">
        <f t="shared" si="7"/>
        <v>-</v>
      </c>
      <c r="B96" s="3" t="str">
        <f t="shared" si="8"/>
        <v>-</v>
      </c>
      <c r="D96" s="1" t="str">
        <f t="shared" si="6"/>
        <v/>
      </c>
    </row>
    <row r="97" spans="1:4">
      <c r="A97" s="1" t="str">
        <f t="shared" si="7"/>
        <v>-</v>
      </c>
      <c r="B97" s="3" t="str">
        <f t="shared" si="8"/>
        <v>-</v>
      </c>
      <c r="D97" s="1" t="str">
        <f t="shared" si="6"/>
        <v/>
      </c>
    </row>
    <row r="98" spans="1:4">
      <c r="A98" s="1" t="str">
        <f t="shared" si="7"/>
        <v>-</v>
      </c>
      <c r="B98" s="3" t="str">
        <f t="shared" si="8"/>
        <v>-</v>
      </c>
      <c r="D98" s="1" t="str">
        <f t="shared" si="6"/>
        <v/>
      </c>
    </row>
    <row r="99" spans="1:4">
      <c r="A99" s="1" t="str">
        <f t="shared" si="7"/>
        <v>-</v>
      </c>
      <c r="B99" s="3" t="str">
        <f t="shared" si="8"/>
        <v>-</v>
      </c>
      <c r="D99" s="1" t="str">
        <f t="shared" si="6"/>
        <v/>
      </c>
    </row>
    <row r="100" spans="1:4">
      <c r="A100" s="1" t="str">
        <f t="shared" si="7"/>
        <v>-</v>
      </c>
      <c r="B100" s="3" t="str">
        <f t="shared" si="8"/>
        <v>-</v>
      </c>
      <c r="D100" s="1" t="str">
        <f t="shared" si="6"/>
        <v/>
      </c>
    </row>
    <row r="101" spans="1:4">
      <c r="A101" s="1" t="str">
        <f t="shared" si="7"/>
        <v>-</v>
      </c>
      <c r="B101" s="3" t="str">
        <f t="shared" si="8"/>
        <v>-</v>
      </c>
      <c r="D101" s="1" t="str">
        <f t="shared" si="6"/>
        <v/>
      </c>
    </row>
    <row r="102" spans="1:4">
      <c r="A102" s="1" t="str">
        <f t="shared" si="7"/>
        <v>-</v>
      </c>
      <c r="B102" s="3" t="str">
        <f t="shared" si="8"/>
        <v>-</v>
      </c>
      <c r="D102" s="1" t="str">
        <f t="shared" si="6"/>
        <v/>
      </c>
    </row>
    <row r="103" spans="1:4">
      <c r="A103" s="1" t="str">
        <f t="shared" si="7"/>
        <v>-</v>
      </c>
      <c r="B103" s="3" t="str">
        <f t="shared" si="8"/>
        <v>-</v>
      </c>
      <c r="D103" s="1" t="str">
        <f t="shared" si="6"/>
        <v/>
      </c>
    </row>
    <row r="104" spans="1:4">
      <c r="A104" s="1" t="str">
        <f t="shared" si="7"/>
        <v>-</v>
      </c>
      <c r="B104" s="3" t="str">
        <f t="shared" si="8"/>
        <v>-</v>
      </c>
      <c r="D104" s="1" t="str">
        <f t="shared" si="6"/>
        <v/>
      </c>
    </row>
    <row r="105" spans="1:4">
      <c r="A105" s="1" t="str">
        <f t="shared" si="7"/>
        <v>-</v>
      </c>
      <c r="B105" s="3" t="str">
        <f t="shared" si="8"/>
        <v>-</v>
      </c>
      <c r="D105" s="1" t="str">
        <f t="shared" si="6"/>
        <v/>
      </c>
    </row>
    <row r="106" spans="1:4">
      <c r="A106" s="1" t="str">
        <f t="shared" si="7"/>
        <v>-</v>
      </c>
      <c r="B106" s="3" t="str">
        <f t="shared" si="8"/>
        <v>-</v>
      </c>
      <c r="D106" s="1" t="str">
        <f t="shared" si="6"/>
        <v/>
      </c>
    </row>
    <row r="107" spans="1:4">
      <c r="A107" s="1" t="str">
        <f t="shared" si="7"/>
        <v>-</v>
      </c>
      <c r="B107" s="3" t="str">
        <f t="shared" si="8"/>
        <v>-</v>
      </c>
      <c r="D107" s="1" t="str">
        <f t="shared" si="6"/>
        <v/>
      </c>
    </row>
    <row r="108" spans="1:4">
      <c r="A108" s="1" t="str">
        <f t="shared" si="7"/>
        <v>-</v>
      </c>
      <c r="B108" s="3" t="str">
        <f t="shared" si="8"/>
        <v>-</v>
      </c>
      <c r="D108" s="1" t="str">
        <f t="shared" si="6"/>
        <v/>
      </c>
    </row>
    <row r="109" spans="1:4">
      <c r="A109" s="1" t="str">
        <f t="shared" si="7"/>
        <v>-</v>
      </c>
      <c r="B109" s="3" t="str">
        <f t="shared" si="8"/>
        <v>-</v>
      </c>
      <c r="D109" s="1" t="str">
        <f t="shared" si="6"/>
        <v/>
      </c>
    </row>
    <row r="110" spans="1:4">
      <c r="A110" s="1" t="str">
        <f t="shared" si="7"/>
        <v>-</v>
      </c>
      <c r="B110" s="3" t="str">
        <f t="shared" si="8"/>
        <v>-</v>
      </c>
      <c r="D110" s="1" t="str">
        <f t="shared" si="6"/>
        <v/>
      </c>
    </row>
    <row r="111" spans="1:4">
      <c r="A111" s="1" t="str">
        <f t="shared" si="7"/>
        <v>-</v>
      </c>
      <c r="B111" s="3" t="str">
        <f t="shared" si="8"/>
        <v>-</v>
      </c>
      <c r="D111" s="1" t="str">
        <f t="shared" si="6"/>
        <v/>
      </c>
    </row>
    <row r="112" spans="1:4">
      <c r="A112" s="1" t="str">
        <f t="shared" si="7"/>
        <v>-</v>
      </c>
      <c r="B112" s="3" t="str">
        <f t="shared" si="8"/>
        <v>-</v>
      </c>
      <c r="D112" s="1" t="str">
        <f t="shared" si="6"/>
        <v/>
      </c>
    </row>
    <row r="113" spans="1:4">
      <c r="A113" s="1" t="str">
        <f t="shared" si="7"/>
        <v>-</v>
      </c>
      <c r="B113" s="3" t="str">
        <f t="shared" si="8"/>
        <v>-</v>
      </c>
      <c r="D113" s="1" t="str">
        <f t="shared" si="6"/>
        <v/>
      </c>
    </row>
    <row r="114" spans="1:4">
      <c r="A114" s="1" t="str">
        <f t="shared" si="7"/>
        <v>-</v>
      </c>
      <c r="B114" s="3" t="str">
        <f t="shared" si="8"/>
        <v>-</v>
      </c>
      <c r="D114" s="1" t="str">
        <f t="shared" si="6"/>
        <v/>
      </c>
    </row>
    <row r="115" spans="1:4">
      <c r="A115" s="1" t="str">
        <f t="shared" si="7"/>
        <v>-</v>
      </c>
      <c r="B115" s="3" t="str">
        <f t="shared" si="8"/>
        <v>-</v>
      </c>
      <c r="D115" s="1" t="str">
        <f t="shared" si="6"/>
        <v/>
      </c>
    </row>
    <row r="116" spans="1:4">
      <c r="A116" s="1" t="str">
        <f t="shared" si="7"/>
        <v>-</v>
      </c>
      <c r="B116" s="3" t="str">
        <f t="shared" si="8"/>
        <v>-</v>
      </c>
      <c r="D116" s="1" t="str">
        <f t="shared" si="6"/>
        <v/>
      </c>
    </row>
    <row r="117" spans="1:4">
      <c r="A117" s="1" t="str">
        <f t="shared" si="7"/>
        <v>-</v>
      </c>
      <c r="B117" s="3" t="str">
        <f t="shared" si="8"/>
        <v>-</v>
      </c>
      <c r="D117" s="1" t="str">
        <f t="shared" si="6"/>
        <v/>
      </c>
    </row>
    <row r="118" spans="1:4">
      <c r="A118" s="1" t="str">
        <f t="shared" si="7"/>
        <v>-</v>
      </c>
      <c r="B118" s="3" t="str">
        <f t="shared" si="8"/>
        <v>-</v>
      </c>
      <c r="D118" s="1" t="str">
        <f t="shared" si="6"/>
        <v/>
      </c>
    </row>
    <row r="119" spans="1:4">
      <c r="A119" s="1" t="str">
        <f t="shared" si="7"/>
        <v>-</v>
      </c>
      <c r="B119" s="3" t="str">
        <f t="shared" si="8"/>
        <v>-</v>
      </c>
      <c r="D119" s="1" t="str">
        <f t="shared" si="6"/>
        <v/>
      </c>
    </row>
    <row r="120" spans="1:4">
      <c r="A120" s="1" t="str">
        <f t="shared" si="7"/>
        <v>-</v>
      </c>
      <c r="B120" s="3" t="str">
        <f t="shared" si="8"/>
        <v>-</v>
      </c>
      <c r="D120" s="1" t="str">
        <f t="shared" si="6"/>
        <v/>
      </c>
    </row>
    <row r="121" spans="1:4">
      <c r="A121" s="1" t="str">
        <f t="shared" si="7"/>
        <v>-</v>
      </c>
      <c r="B121" s="3" t="str">
        <f t="shared" si="8"/>
        <v>-</v>
      </c>
      <c r="D121" s="1" t="str">
        <f t="shared" si="6"/>
        <v/>
      </c>
    </row>
    <row r="122" spans="1:4">
      <c r="A122" s="1" t="str">
        <f t="shared" si="7"/>
        <v>-</v>
      </c>
      <c r="B122" s="3" t="str">
        <f t="shared" si="8"/>
        <v>-</v>
      </c>
      <c r="D122" s="1" t="str">
        <f t="shared" si="6"/>
        <v/>
      </c>
    </row>
    <row r="123" spans="1:4">
      <c r="A123" s="1" t="str">
        <f t="shared" si="7"/>
        <v>-</v>
      </c>
      <c r="B123" s="3" t="str">
        <f t="shared" si="8"/>
        <v>-</v>
      </c>
      <c r="D123" s="1" t="str">
        <f t="shared" si="6"/>
        <v/>
      </c>
    </row>
    <row r="124" spans="1:4">
      <c r="A124" s="1" t="str">
        <f t="shared" si="7"/>
        <v>-</v>
      </c>
      <c r="B124" s="3" t="str">
        <f t="shared" si="8"/>
        <v>-</v>
      </c>
      <c r="D124" s="1" t="str">
        <f t="shared" si="6"/>
        <v/>
      </c>
    </row>
    <row r="125" spans="1:4">
      <c r="A125" s="1" t="str">
        <f t="shared" si="7"/>
        <v>-</v>
      </c>
      <c r="B125" s="3" t="str">
        <f t="shared" si="8"/>
        <v>-</v>
      </c>
      <c r="D125" s="1" t="str">
        <f t="shared" si="6"/>
        <v/>
      </c>
    </row>
    <row r="126" spans="1:4">
      <c r="A126" s="1" t="str">
        <f t="shared" si="7"/>
        <v>-</v>
      </c>
      <c r="B126" s="3" t="str">
        <f t="shared" si="8"/>
        <v>-</v>
      </c>
      <c r="D126" s="1" t="str">
        <f t="shared" si="6"/>
        <v/>
      </c>
    </row>
    <row r="127" spans="1:4">
      <c r="A127" s="1" t="str">
        <f t="shared" si="7"/>
        <v>-</v>
      </c>
      <c r="B127" s="3" t="str">
        <f t="shared" si="8"/>
        <v>-</v>
      </c>
      <c r="D127" s="1" t="str">
        <f t="shared" si="6"/>
        <v/>
      </c>
    </row>
    <row r="128" spans="1:4">
      <c r="A128" s="1" t="str">
        <f t="shared" si="7"/>
        <v>-</v>
      </c>
      <c r="B128" s="3" t="str">
        <f t="shared" si="8"/>
        <v>-</v>
      </c>
      <c r="D128" s="1" t="str">
        <f t="shared" si="6"/>
        <v/>
      </c>
    </row>
    <row r="129" spans="1:4">
      <c r="A129" s="1" t="str">
        <f t="shared" si="7"/>
        <v>-</v>
      </c>
      <c r="B129" s="3" t="str">
        <f t="shared" si="8"/>
        <v>-</v>
      </c>
      <c r="D129" s="1" t="str">
        <f t="shared" si="6"/>
        <v/>
      </c>
    </row>
    <row r="130" spans="1:4">
      <c r="A130" s="1" t="str">
        <f t="shared" si="7"/>
        <v>-</v>
      </c>
      <c r="B130" s="3" t="str">
        <f t="shared" si="8"/>
        <v>-</v>
      </c>
      <c r="D130" s="1" t="str">
        <f t="shared" si="6"/>
        <v/>
      </c>
    </row>
    <row r="131" spans="1:4">
      <c r="A131" s="1" t="str">
        <f t="shared" si="7"/>
        <v>-</v>
      </c>
      <c r="B131" s="3" t="str">
        <f t="shared" si="8"/>
        <v>-</v>
      </c>
      <c r="D131" s="1" t="str">
        <f t="shared" si="6"/>
        <v/>
      </c>
    </row>
    <row r="132" spans="1:4">
      <c r="A132" s="1" t="str">
        <f t="shared" si="7"/>
        <v>-</v>
      </c>
      <c r="B132" s="3" t="str">
        <f t="shared" si="8"/>
        <v>-</v>
      </c>
      <c r="D132" s="1" t="str">
        <f t="shared" si="6"/>
        <v/>
      </c>
    </row>
    <row r="133" spans="1:4">
      <c r="A133" s="1" t="str">
        <f t="shared" si="7"/>
        <v>-</v>
      </c>
      <c r="B133" s="3" t="str">
        <f t="shared" si="8"/>
        <v>-</v>
      </c>
      <c r="D133" s="1" t="str">
        <f t="shared" si="6"/>
        <v/>
      </c>
    </row>
    <row r="134" spans="1:4">
      <c r="A134" s="1" t="str">
        <f t="shared" si="7"/>
        <v>-</v>
      </c>
      <c r="B134" s="3" t="str">
        <f t="shared" si="8"/>
        <v>-</v>
      </c>
      <c r="D134" s="1" t="str">
        <f t="shared" si="6"/>
        <v/>
      </c>
    </row>
    <row r="135" spans="1:4">
      <c r="A135" s="1" t="str">
        <f t="shared" si="7"/>
        <v>-</v>
      </c>
      <c r="B135" s="3" t="str">
        <f t="shared" si="8"/>
        <v>-</v>
      </c>
      <c r="D135" s="1" t="str">
        <f t="shared" si="6"/>
        <v/>
      </c>
    </row>
    <row r="136" spans="1:4">
      <c r="A136" s="1" t="str">
        <f t="shared" si="7"/>
        <v>-</v>
      </c>
      <c r="B136" s="3" t="str">
        <f t="shared" si="8"/>
        <v>-</v>
      </c>
      <c r="D136" s="1" t="str">
        <f t="shared" si="6"/>
        <v/>
      </c>
    </row>
    <row r="137" spans="1:4">
      <c r="A137" s="1" t="str">
        <f t="shared" si="7"/>
        <v>-</v>
      </c>
      <c r="B137" s="3" t="str">
        <f t="shared" si="8"/>
        <v>-</v>
      </c>
      <c r="D137" s="1" t="str">
        <f t="shared" si="6"/>
        <v/>
      </c>
    </row>
    <row r="138" spans="1:4">
      <c r="A138" s="1" t="str">
        <f t="shared" si="7"/>
        <v>-</v>
      </c>
      <c r="B138" s="3" t="str">
        <f t="shared" si="8"/>
        <v>-</v>
      </c>
      <c r="D138" s="1" t="str">
        <f t="shared" si="6"/>
        <v/>
      </c>
    </row>
    <row r="139" spans="1:4">
      <c r="A139" s="1" t="str">
        <f t="shared" si="7"/>
        <v>-</v>
      </c>
      <c r="B139" s="3" t="str">
        <f t="shared" si="8"/>
        <v>-</v>
      </c>
      <c r="D139" s="1" t="str">
        <f t="shared" ref="D139:D202" si="9">IF(F139&lt;&gt;"",RIGHT(F139, LEN(F139) - FIND(" - ", F139) - 2),"")</f>
        <v/>
      </c>
    </row>
    <row r="140" spans="1:4">
      <c r="A140" s="1" t="str">
        <f t="shared" si="7"/>
        <v>-</v>
      </c>
      <c r="B140" s="3" t="str">
        <f t="shared" si="8"/>
        <v>-</v>
      </c>
      <c r="D140" s="1" t="str">
        <f t="shared" si="9"/>
        <v/>
      </c>
    </row>
    <row r="141" spans="1:4">
      <c r="A141" s="1" t="str">
        <f t="shared" si="7"/>
        <v>-</v>
      </c>
      <c r="B141" s="3" t="str">
        <f t="shared" si="8"/>
        <v>-</v>
      </c>
      <c r="D141" s="1" t="str">
        <f t="shared" si="9"/>
        <v/>
      </c>
    </row>
    <row r="142" spans="1:4">
      <c r="A142" s="1" t="str">
        <f t="shared" si="7"/>
        <v>-</v>
      </c>
      <c r="B142" s="3" t="str">
        <f t="shared" si="8"/>
        <v>-</v>
      </c>
      <c r="D142" s="1" t="str">
        <f t="shared" si="9"/>
        <v/>
      </c>
    </row>
    <row r="143" spans="1:4">
      <c r="A143" s="1" t="str">
        <f t="shared" si="7"/>
        <v>-</v>
      </c>
      <c r="B143" s="3" t="str">
        <f t="shared" si="8"/>
        <v>-</v>
      </c>
      <c r="D143" s="1" t="str">
        <f t="shared" si="9"/>
        <v/>
      </c>
    </row>
    <row r="144" spans="1:4">
      <c r="A144" s="1" t="str">
        <f t="shared" si="7"/>
        <v>-</v>
      </c>
      <c r="B144" s="3" t="str">
        <f t="shared" si="8"/>
        <v>-</v>
      </c>
      <c r="D144" s="1" t="str">
        <f t="shared" si="9"/>
        <v/>
      </c>
    </row>
    <row r="145" spans="1:4">
      <c r="A145" s="1" t="str">
        <f t="shared" si="7"/>
        <v>-</v>
      </c>
      <c r="B145" s="3" t="str">
        <f t="shared" si="8"/>
        <v>-</v>
      </c>
      <c r="D145" s="1" t="str">
        <f t="shared" si="9"/>
        <v/>
      </c>
    </row>
    <row r="146" spans="1:4">
      <c r="A146" s="1" t="str">
        <f t="shared" si="7"/>
        <v>-</v>
      </c>
      <c r="B146" s="3" t="str">
        <f t="shared" si="8"/>
        <v>-</v>
      </c>
      <c r="D146" s="1" t="str">
        <f t="shared" si="9"/>
        <v/>
      </c>
    </row>
    <row r="147" spans="1:4">
      <c r="A147" s="1" t="str">
        <f t="shared" si="7"/>
        <v>-</v>
      </c>
      <c r="B147" s="3" t="str">
        <f t="shared" si="8"/>
        <v>-</v>
      </c>
      <c r="D147" s="1" t="str">
        <f t="shared" si="9"/>
        <v/>
      </c>
    </row>
    <row r="148" spans="1:4">
      <c r="A148" s="1" t="str">
        <f t="shared" si="7"/>
        <v>-</v>
      </c>
      <c r="B148" s="3" t="str">
        <f t="shared" si="8"/>
        <v>-</v>
      </c>
      <c r="D148" s="1" t="str">
        <f t="shared" si="9"/>
        <v/>
      </c>
    </row>
    <row r="149" spans="1:4">
      <c r="A149" s="1" t="str">
        <f t="shared" ref="A149:A212" si="10">IF(E149&lt;&gt;"",TEXT(E149, "hh:mm"),"-")</f>
        <v>-</v>
      </c>
      <c r="B149" s="3" t="str">
        <f t="shared" ref="B149:B212" si="11">IF(E149&lt;&gt;"",DATE(YEAR(E149),MONTH(E149), DAY(E149)),"-")</f>
        <v>-</v>
      </c>
      <c r="D149" s="1" t="str">
        <f t="shared" si="9"/>
        <v/>
      </c>
    </row>
    <row r="150" spans="1:4">
      <c r="A150" s="1" t="str">
        <f t="shared" si="10"/>
        <v>-</v>
      </c>
      <c r="B150" s="3" t="str">
        <f t="shared" si="11"/>
        <v>-</v>
      </c>
      <c r="D150" s="1" t="str">
        <f t="shared" si="9"/>
        <v/>
      </c>
    </row>
    <row r="151" spans="1:4">
      <c r="A151" s="1" t="str">
        <f t="shared" si="10"/>
        <v>-</v>
      </c>
      <c r="B151" s="3" t="str">
        <f t="shared" si="11"/>
        <v>-</v>
      </c>
      <c r="D151" s="1" t="str">
        <f t="shared" si="9"/>
        <v/>
      </c>
    </row>
    <row r="152" spans="1:4">
      <c r="A152" s="1" t="str">
        <f t="shared" si="10"/>
        <v>-</v>
      </c>
      <c r="B152" s="3" t="str">
        <f t="shared" si="11"/>
        <v>-</v>
      </c>
      <c r="D152" s="1" t="str">
        <f t="shared" si="9"/>
        <v/>
      </c>
    </row>
    <row r="153" spans="1:4">
      <c r="A153" s="1" t="str">
        <f t="shared" si="10"/>
        <v>-</v>
      </c>
      <c r="B153" s="3" t="str">
        <f t="shared" si="11"/>
        <v>-</v>
      </c>
      <c r="D153" s="1" t="str">
        <f t="shared" si="9"/>
        <v/>
      </c>
    </row>
    <row r="154" spans="1:4">
      <c r="A154" s="1" t="str">
        <f t="shared" si="10"/>
        <v>-</v>
      </c>
      <c r="B154" s="3" t="str">
        <f t="shared" si="11"/>
        <v>-</v>
      </c>
      <c r="D154" s="1" t="str">
        <f t="shared" si="9"/>
        <v/>
      </c>
    </row>
    <row r="155" spans="1:4">
      <c r="A155" s="1" t="str">
        <f t="shared" si="10"/>
        <v>-</v>
      </c>
      <c r="B155" s="3" t="str">
        <f t="shared" si="11"/>
        <v>-</v>
      </c>
      <c r="D155" s="1" t="str">
        <f t="shared" si="9"/>
        <v/>
      </c>
    </row>
    <row r="156" spans="1:4">
      <c r="A156" s="1" t="str">
        <f t="shared" si="10"/>
        <v>-</v>
      </c>
      <c r="B156" s="3" t="str">
        <f t="shared" si="11"/>
        <v>-</v>
      </c>
      <c r="D156" s="1" t="str">
        <f t="shared" si="9"/>
        <v/>
      </c>
    </row>
    <row r="157" spans="1:4">
      <c r="A157" s="1" t="str">
        <f t="shared" si="10"/>
        <v>-</v>
      </c>
      <c r="B157" s="3" t="str">
        <f t="shared" si="11"/>
        <v>-</v>
      </c>
      <c r="D157" s="1" t="str">
        <f t="shared" si="9"/>
        <v/>
      </c>
    </row>
    <row r="158" spans="1:4">
      <c r="A158" s="1" t="str">
        <f t="shared" si="10"/>
        <v>-</v>
      </c>
      <c r="B158" s="3" t="str">
        <f t="shared" si="11"/>
        <v>-</v>
      </c>
      <c r="D158" s="1" t="str">
        <f t="shared" si="9"/>
        <v/>
      </c>
    </row>
    <row r="159" spans="1:4">
      <c r="A159" s="1" t="str">
        <f t="shared" si="10"/>
        <v>-</v>
      </c>
      <c r="B159" s="3" t="str">
        <f t="shared" si="11"/>
        <v>-</v>
      </c>
      <c r="D159" s="1" t="str">
        <f t="shared" si="9"/>
        <v/>
      </c>
    </row>
    <row r="160" spans="1:4">
      <c r="A160" s="1" t="str">
        <f t="shared" si="10"/>
        <v>-</v>
      </c>
      <c r="B160" s="3" t="str">
        <f t="shared" si="11"/>
        <v>-</v>
      </c>
      <c r="D160" s="1" t="str">
        <f t="shared" si="9"/>
        <v/>
      </c>
    </row>
    <row r="161" spans="1:4">
      <c r="A161" s="1" t="str">
        <f t="shared" si="10"/>
        <v>-</v>
      </c>
      <c r="B161" s="3" t="str">
        <f t="shared" si="11"/>
        <v>-</v>
      </c>
      <c r="D161" s="1" t="str">
        <f t="shared" si="9"/>
        <v/>
      </c>
    </row>
    <row r="162" spans="1:4">
      <c r="A162" s="1" t="str">
        <f t="shared" si="10"/>
        <v>-</v>
      </c>
      <c r="B162" s="3" t="str">
        <f t="shared" si="11"/>
        <v>-</v>
      </c>
      <c r="D162" s="1" t="str">
        <f t="shared" si="9"/>
        <v/>
      </c>
    </row>
    <row r="163" spans="1:4">
      <c r="A163" s="1" t="str">
        <f t="shared" si="10"/>
        <v>-</v>
      </c>
      <c r="B163" s="3" t="str">
        <f t="shared" si="11"/>
        <v>-</v>
      </c>
      <c r="D163" s="1" t="str">
        <f t="shared" si="9"/>
        <v/>
      </c>
    </row>
    <row r="164" spans="1:4">
      <c r="A164" s="1" t="str">
        <f t="shared" si="10"/>
        <v>-</v>
      </c>
      <c r="B164" s="3" t="str">
        <f t="shared" si="11"/>
        <v>-</v>
      </c>
      <c r="D164" s="1" t="str">
        <f t="shared" si="9"/>
        <v/>
      </c>
    </row>
    <row r="165" spans="1:4">
      <c r="A165" s="1" t="str">
        <f t="shared" si="10"/>
        <v>-</v>
      </c>
      <c r="B165" s="3" t="str">
        <f t="shared" si="11"/>
        <v>-</v>
      </c>
      <c r="D165" s="1" t="str">
        <f t="shared" si="9"/>
        <v/>
      </c>
    </row>
    <row r="166" spans="1:4">
      <c r="A166" s="1" t="str">
        <f t="shared" si="10"/>
        <v>-</v>
      </c>
      <c r="B166" s="3" t="str">
        <f t="shared" si="11"/>
        <v>-</v>
      </c>
      <c r="D166" s="1" t="str">
        <f t="shared" si="9"/>
        <v/>
      </c>
    </row>
    <row r="167" spans="1:4">
      <c r="A167" s="1" t="str">
        <f t="shared" si="10"/>
        <v>-</v>
      </c>
      <c r="B167" s="3" t="str">
        <f t="shared" si="11"/>
        <v>-</v>
      </c>
      <c r="D167" s="1" t="str">
        <f t="shared" si="9"/>
        <v/>
      </c>
    </row>
    <row r="168" spans="1:4">
      <c r="A168" s="1" t="str">
        <f t="shared" si="10"/>
        <v>-</v>
      </c>
      <c r="B168" s="3" t="str">
        <f t="shared" si="11"/>
        <v>-</v>
      </c>
      <c r="D168" s="1" t="str">
        <f t="shared" si="9"/>
        <v/>
      </c>
    </row>
    <row r="169" spans="1:4">
      <c r="A169" s="1" t="str">
        <f t="shared" si="10"/>
        <v>-</v>
      </c>
      <c r="B169" s="3" t="str">
        <f t="shared" si="11"/>
        <v>-</v>
      </c>
      <c r="D169" s="1" t="str">
        <f t="shared" si="9"/>
        <v/>
      </c>
    </row>
    <row r="170" spans="1:4">
      <c r="A170" s="1" t="str">
        <f t="shared" si="10"/>
        <v>-</v>
      </c>
      <c r="B170" s="3" t="str">
        <f t="shared" si="11"/>
        <v>-</v>
      </c>
      <c r="D170" s="1" t="str">
        <f t="shared" si="9"/>
        <v/>
      </c>
    </row>
    <row r="171" spans="1:4">
      <c r="A171" s="1" t="str">
        <f t="shared" si="10"/>
        <v>-</v>
      </c>
      <c r="B171" s="3" t="str">
        <f t="shared" si="11"/>
        <v>-</v>
      </c>
      <c r="D171" s="1" t="str">
        <f t="shared" si="9"/>
        <v/>
      </c>
    </row>
    <row r="172" spans="1:4">
      <c r="A172" s="1" t="str">
        <f t="shared" si="10"/>
        <v>-</v>
      </c>
      <c r="B172" s="3" t="str">
        <f t="shared" si="11"/>
        <v>-</v>
      </c>
      <c r="D172" s="1" t="str">
        <f t="shared" si="9"/>
        <v/>
      </c>
    </row>
    <row r="173" spans="1:4">
      <c r="A173" s="1" t="str">
        <f t="shared" si="10"/>
        <v>-</v>
      </c>
      <c r="B173" s="3" t="str">
        <f t="shared" si="11"/>
        <v>-</v>
      </c>
      <c r="D173" s="1" t="str">
        <f t="shared" si="9"/>
        <v/>
      </c>
    </row>
    <row r="174" spans="1:4">
      <c r="A174" s="1" t="str">
        <f t="shared" si="10"/>
        <v>-</v>
      </c>
      <c r="B174" s="3" t="str">
        <f t="shared" si="11"/>
        <v>-</v>
      </c>
      <c r="D174" s="1" t="str">
        <f t="shared" si="9"/>
        <v/>
      </c>
    </row>
    <row r="175" spans="1:4">
      <c r="A175" s="1" t="str">
        <f t="shared" si="10"/>
        <v>-</v>
      </c>
      <c r="B175" s="3" t="str">
        <f t="shared" si="11"/>
        <v>-</v>
      </c>
      <c r="D175" s="1" t="str">
        <f t="shared" si="9"/>
        <v/>
      </c>
    </row>
    <row r="176" spans="1:4">
      <c r="A176" s="1" t="str">
        <f t="shared" si="10"/>
        <v>-</v>
      </c>
      <c r="B176" s="3" t="str">
        <f t="shared" si="11"/>
        <v>-</v>
      </c>
      <c r="D176" s="1" t="str">
        <f t="shared" si="9"/>
        <v/>
      </c>
    </row>
    <row r="177" spans="1:4">
      <c r="A177" s="1" t="str">
        <f t="shared" si="10"/>
        <v>-</v>
      </c>
      <c r="B177" s="3" t="str">
        <f t="shared" si="11"/>
        <v>-</v>
      </c>
      <c r="D177" s="1" t="str">
        <f t="shared" si="9"/>
        <v/>
      </c>
    </row>
    <row r="178" spans="1:4">
      <c r="A178" s="1" t="str">
        <f t="shared" si="10"/>
        <v>-</v>
      </c>
      <c r="B178" s="3" t="str">
        <f t="shared" si="11"/>
        <v>-</v>
      </c>
      <c r="D178" s="1" t="str">
        <f t="shared" si="9"/>
        <v/>
      </c>
    </row>
    <row r="179" spans="1:4">
      <c r="A179" s="1" t="str">
        <f t="shared" si="10"/>
        <v>-</v>
      </c>
      <c r="B179" s="3" t="str">
        <f t="shared" si="11"/>
        <v>-</v>
      </c>
      <c r="D179" s="1" t="str">
        <f t="shared" si="9"/>
        <v/>
      </c>
    </row>
    <row r="180" spans="1:4">
      <c r="A180" s="1" t="str">
        <f t="shared" si="10"/>
        <v>-</v>
      </c>
      <c r="B180" s="3" t="str">
        <f t="shared" si="11"/>
        <v>-</v>
      </c>
      <c r="D180" s="1" t="str">
        <f t="shared" si="9"/>
        <v/>
      </c>
    </row>
    <row r="181" spans="1:4">
      <c r="A181" s="1" t="str">
        <f t="shared" si="10"/>
        <v>-</v>
      </c>
      <c r="B181" s="3" t="str">
        <f t="shared" si="11"/>
        <v>-</v>
      </c>
      <c r="D181" s="1" t="str">
        <f t="shared" si="9"/>
        <v/>
      </c>
    </row>
    <row r="182" spans="1:4">
      <c r="A182" s="1" t="str">
        <f t="shared" si="10"/>
        <v>-</v>
      </c>
      <c r="B182" s="3" t="str">
        <f t="shared" si="11"/>
        <v>-</v>
      </c>
      <c r="D182" s="1" t="str">
        <f t="shared" si="9"/>
        <v/>
      </c>
    </row>
    <row r="183" spans="1:4">
      <c r="A183" s="1" t="str">
        <f t="shared" si="10"/>
        <v>-</v>
      </c>
      <c r="B183" s="3" t="str">
        <f t="shared" si="11"/>
        <v>-</v>
      </c>
      <c r="D183" s="1" t="str">
        <f t="shared" si="9"/>
        <v/>
      </c>
    </row>
    <row r="184" spans="1:4">
      <c r="A184" s="1" t="str">
        <f t="shared" si="10"/>
        <v>-</v>
      </c>
      <c r="B184" s="3" t="str">
        <f t="shared" si="11"/>
        <v>-</v>
      </c>
      <c r="D184" s="1" t="str">
        <f t="shared" si="9"/>
        <v/>
      </c>
    </row>
    <row r="185" spans="1:4">
      <c r="A185" s="1" t="str">
        <f t="shared" si="10"/>
        <v>-</v>
      </c>
      <c r="B185" s="3" t="str">
        <f t="shared" si="11"/>
        <v>-</v>
      </c>
      <c r="D185" s="1" t="str">
        <f t="shared" si="9"/>
        <v/>
      </c>
    </row>
    <row r="186" spans="1:4">
      <c r="A186" s="1" t="str">
        <f t="shared" si="10"/>
        <v>-</v>
      </c>
      <c r="B186" s="3" t="str">
        <f t="shared" si="11"/>
        <v>-</v>
      </c>
      <c r="D186" s="1" t="str">
        <f t="shared" si="9"/>
        <v/>
      </c>
    </row>
    <row r="187" spans="1:4">
      <c r="A187" s="1" t="str">
        <f t="shared" si="10"/>
        <v>-</v>
      </c>
      <c r="B187" s="3" t="str">
        <f t="shared" si="11"/>
        <v>-</v>
      </c>
      <c r="D187" s="1" t="str">
        <f t="shared" si="9"/>
        <v/>
      </c>
    </row>
    <row r="188" spans="1:4">
      <c r="A188" s="1" t="str">
        <f t="shared" si="10"/>
        <v>-</v>
      </c>
      <c r="B188" s="3" t="str">
        <f t="shared" si="11"/>
        <v>-</v>
      </c>
      <c r="D188" s="1" t="str">
        <f t="shared" si="9"/>
        <v/>
      </c>
    </row>
    <row r="189" spans="1:4">
      <c r="A189" s="1" t="str">
        <f t="shared" si="10"/>
        <v>-</v>
      </c>
      <c r="B189" s="3" t="str">
        <f t="shared" si="11"/>
        <v>-</v>
      </c>
      <c r="D189" s="1" t="str">
        <f t="shared" si="9"/>
        <v/>
      </c>
    </row>
    <row r="190" spans="1:4">
      <c r="A190" s="1" t="str">
        <f t="shared" si="10"/>
        <v>-</v>
      </c>
      <c r="B190" s="3" t="str">
        <f t="shared" si="11"/>
        <v>-</v>
      </c>
      <c r="D190" s="1" t="str">
        <f t="shared" si="9"/>
        <v/>
      </c>
    </row>
    <row r="191" spans="1:4">
      <c r="A191" s="1" t="str">
        <f t="shared" si="10"/>
        <v>-</v>
      </c>
      <c r="B191" s="3" t="str">
        <f t="shared" si="11"/>
        <v>-</v>
      </c>
      <c r="D191" s="1" t="str">
        <f t="shared" si="9"/>
        <v/>
      </c>
    </row>
    <row r="192" spans="1:4">
      <c r="A192" s="1" t="str">
        <f t="shared" si="10"/>
        <v>-</v>
      </c>
      <c r="B192" s="3" t="str">
        <f t="shared" si="11"/>
        <v>-</v>
      </c>
      <c r="D192" s="1" t="str">
        <f t="shared" si="9"/>
        <v/>
      </c>
    </row>
    <row r="193" spans="1:4">
      <c r="A193" s="1" t="str">
        <f t="shared" si="10"/>
        <v>-</v>
      </c>
      <c r="B193" s="3" t="str">
        <f t="shared" si="11"/>
        <v>-</v>
      </c>
      <c r="D193" s="1" t="str">
        <f t="shared" si="9"/>
        <v/>
      </c>
    </row>
    <row r="194" spans="1:4">
      <c r="A194" s="1" t="str">
        <f t="shared" si="10"/>
        <v>-</v>
      </c>
      <c r="B194" s="3" t="str">
        <f t="shared" si="11"/>
        <v>-</v>
      </c>
      <c r="D194" s="1" t="str">
        <f t="shared" si="9"/>
        <v/>
      </c>
    </row>
    <row r="195" spans="1:4">
      <c r="A195" s="1" t="str">
        <f t="shared" si="10"/>
        <v>-</v>
      </c>
      <c r="B195" s="3" t="str">
        <f t="shared" si="11"/>
        <v>-</v>
      </c>
      <c r="D195" s="1" t="str">
        <f t="shared" si="9"/>
        <v/>
      </c>
    </row>
    <row r="196" spans="1:4">
      <c r="A196" s="1" t="str">
        <f t="shared" si="10"/>
        <v>-</v>
      </c>
      <c r="B196" s="3" t="str">
        <f t="shared" si="11"/>
        <v>-</v>
      </c>
      <c r="D196" s="1" t="str">
        <f t="shared" si="9"/>
        <v/>
      </c>
    </row>
    <row r="197" spans="1:4">
      <c r="A197" s="1" t="str">
        <f t="shared" si="10"/>
        <v>-</v>
      </c>
      <c r="B197" s="3" t="str">
        <f t="shared" si="11"/>
        <v>-</v>
      </c>
      <c r="D197" s="1" t="str">
        <f t="shared" si="9"/>
        <v/>
      </c>
    </row>
    <row r="198" spans="1:4">
      <c r="A198" s="1" t="str">
        <f t="shared" si="10"/>
        <v>-</v>
      </c>
      <c r="B198" s="3" t="str">
        <f t="shared" si="11"/>
        <v>-</v>
      </c>
      <c r="D198" s="1" t="str">
        <f t="shared" si="9"/>
        <v/>
      </c>
    </row>
    <row r="199" spans="1:4">
      <c r="A199" s="1" t="str">
        <f t="shared" si="10"/>
        <v>-</v>
      </c>
      <c r="B199" s="3" t="str">
        <f t="shared" si="11"/>
        <v>-</v>
      </c>
      <c r="D199" s="1" t="str">
        <f t="shared" si="9"/>
        <v/>
      </c>
    </row>
    <row r="200" spans="1:4">
      <c r="A200" s="1" t="str">
        <f t="shared" si="10"/>
        <v>-</v>
      </c>
      <c r="B200" s="3" t="str">
        <f t="shared" si="11"/>
        <v>-</v>
      </c>
      <c r="D200" s="1" t="str">
        <f t="shared" si="9"/>
        <v/>
      </c>
    </row>
    <row r="201" spans="1:4">
      <c r="A201" s="1" t="str">
        <f t="shared" si="10"/>
        <v>-</v>
      </c>
      <c r="B201" s="3" t="str">
        <f t="shared" si="11"/>
        <v>-</v>
      </c>
      <c r="D201" s="1" t="str">
        <f t="shared" si="9"/>
        <v/>
      </c>
    </row>
    <row r="202" spans="1:4">
      <c r="A202" s="1" t="str">
        <f t="shared" si="10"/>
        <v>-</v>
      </c>
      <c r="B202" s="3" t="str">
        <f t="shared" si="11"/>
        <v>-</v>
      </c>
      <c r="D202" s="1" t="str">
        <f t="shared" si="9"/>
        <v/>
      </c>
    </row>
    <row r="203" spans="1:4">
      <c r="A203" s="1" t="str">
        <f t="shared" si="10"/>
        <v>-</v>
      </c>
      <c r="B203" s="3" t="str">
        <f t="shared" si="11"/>
        <v>-</v>
      </c>
      <c r="D203" s="1" t="str">
        <f t="shared" ref="D203:D266" si="12">IF(F203&lt;&gt;"",RIGHT(F203, LEN(F203) - FIND(" - ", F203) - 2),"")</f>
        <v/>
      </c>
    </row>
    <row r="204" spans="1:4">
      <c r="A204" s="1" t="str">
        <f t="shared" si="10"/>
        <v>-</v>
      </c>
      <c r="B204" s="3" t="str">
        <f t="shared" si="11"/>
        <v>-</v>
      </c>
      <c r="D204" s="1" t="str">
        <f t="shared" si="12"/>
        <v/>
      </c>
    </row>
    <row r="205" spans="1:4">
      <c r="A205" s="1" t="str">
        <f t="shared" si="10"/>
        <v>-</v>
      </c>
      <c r="B205" s="3" t="str">
        <f t="shared" si="11"/>
        <v>-</v>
      </c>
      <c r="D205" s="1" t="str">
        <f t="shared" si="12"/>
        <v/>
      </c>
    </row>
    <row r="206" spans="1:4">
      <c r="A206" s="1" t="str">
        <f t="shared" si="10"/>
        <v>-</v>
      </c>
      <c r="B206" s="3" t="str">
        <f t="shared" si="11"/>
        <v>-</v>
      </c>
      <c r="D206" s="1" t="str">
        <f t="shared" si="12"/>
        <v/>
      </c>
    </row>
    <row r="207" spans="1:4">
      <c r="A207" s="1" t="str">
        <f t="shared" si="10"/>
        <v>-</v>
      </c>
      <c r="B207" s="3" t="str">
        <f t="shared" si="11"/>
        <v>-</v>
      </c>
      <c r="D207" s="1" t="str">
        <f t="shared" si="12"/>
        <v/>
      </c>
    </row>
    <row r="208" spans="1:4">
      <c r="A208" s="1" t="str">
        <f t="shared" si="10"/>
        <v>-</v>
      </c>
      <c r="B208" s="3" t="str">
        <f t="shared" si="11"/>
        <v>-</v>
      </c>
      <c r="D208" s="1" t="str">
        <f t="shared" si="12"/>
        <v/>
      </c>
    </row>
    <row r="209" spans="1:4">
      <c r="A209" s="1" t="str">
        <f t="shared" si="10"/>
        <v>-</v>
      </c>
      <c r="B209" s="3" t="str">
        <f t="shared" si="11"/>
        <v>-</v>
      </c>
      <c r="D209" s="1" t="str">
        <f t="shared" si="12"/>
        <v/>
      </c>
    </row>
    <row r="210" spans="1:4">
      <c r="A210" s="1" t="str">
        <f t="shared" si="10"/>
        <v>-</v>
      </c>
      <c r="B210" s="3" t="str">
        <f t="shared" si="11"/>
        <v>-</v>
      </c>
      <c r="D210" s="1" t="str">
        <f t="shared" si="12"/>
        <v/>
      </c>
    </row>
    <row r="211" spans="1:4">
      <c r="A211" s="1" t="str">
        <f t="shared" si="10"/>
        <v>-</v>
      </c>
      <c r="B211" s="3" t="str">
        <f t="shared" si="11"/>
        <v>-</v>
      </c>
      <c r="D211" s="1" t="str">
        <f t="shared" si="12"/>
        <v/>
      </c>
    </row>
    <row r="212" spans="1:4">
      <c r="A212" s="1" t="str">
        <f t="shared" si="10"/>
        <v>-</v>
      </c>
      <c r="B212" s="3" t="str">
        <f t="shared" si="11"/>
        <v>-</v>
      </c>
      <c r="D212" s="1" t="str">
        <f t="shared" si="12"/>
        <v/>
      </c>
    </row>
    <row r="213" spans="1:4">
      <c r="A213" s="1" t="str">
        <f t="shared" ref="A213:A276" si="13">IF(E213&lt;&gt;"",TEXT(E213, "hh:mm"),"-")</f>
        <v>-</v>
      </c>
      <c r="B213" s="3" t="str">
        <f t="shared" ref="B213:B276" si="14">IF(E213&lt;&gt;"",DATE(YEAR(E213),MONTH(E213), DAY(E213)),"-")</f>
        <v>-</v>
      </c>
      <c r="D213" s="1" t="str">
        <f t="shared" si="12"/>
        <v/>
      </c>
    </row>
    <row r="214" spans="1:4">
      <c r="A214" s="1" t="str">
        <f t="shared" si="13"/>
        <v>-</v>
      </c>
      <c r="B214" s="3" t="str">
        <f t="shared" si="14"/>
        <v>-</v>
      </c>
      <c r="D214" s="1" t="str">
        <f t="shared" si="12"/>
        <v/>
      </c>
    </row>
    <row r="215" spans="1:4">
      <c r="A215" s="1" t="str">
        <f t="shared" si="13"/>
        <v>-</v>
      </c>
      <c r="B215" s="3" t="str">
        <f t="shared" si="14"/>
        <v>-</v>
      </c>
      <c r="D215" s="1" t="str">
        <f t="shared" si="12"/>
        <v/>
      </c>
    </row>
    <row r="216" spans="1:4">
      <c r="A216" s="1" t="str">
        <f t="shared" si="13"/>
        <v>-</v>
      </c>
      <c r="B216" s="3" t="str">
        <f t="shared" si="14"/>
        <v>-</v>
      </c>
      <c r="D216" s="1" t="str">
        <f t="shared" si="12"/>
        <v/>
      </c>
    </row>
    <row r="217" spans="1:4">
      <c r="A217" s="1" t="str">
        <f t="shared" si="13"/>
        <v>-</v>
      </c>
      <c r="B217" s="3" t="str">
        <f t="shared" si="14"/>
        <v>-</v>
      </c>
      <c r="D217" s="1" t="str">
        <f t="shared" si="12"/>
        <v/>
      </c>
    </row>
    <row r="218" spans="1:4">
      <c r="A218" s="1" t="str">
        <f t="shared" si="13"/>
        <v>-</v>
      </c>
      <c r="B218" s="3" t="str">
        <f t="shared" si="14"/>
        <v>-</v>
      </c>
      <c r="D218" s="1" t="str">
        <f t="shared" si="12"/>
        <v/>
      </c>
    </row>
    <row r="219" spans="1:4">
      <c r="A219" s="1" t="str">
        <f t="shared" si="13"/>
        <v>-</v>
      </c>
      <c r="B219" s="3" t="str">
        <f t="shared" si="14"/>
        <v>-</v>
      </c>
      <c r="D219" s="1" t="str">
        <f t="shared" si="12"/>
        <v/>
      </c>
    </row>
    <row r="220" spans="1:4">
      <c r="A220" s="1" t="str">
        <f t="shared" si="13"/>
        <v>-</v>
      </c>
      <c r="B220" s="3" t="str">
        <f t="shared" si="14"/>
        <v>-</v>
      </c>
      <c r="D220" s="1" t="str">
        <f t="shared" si="12"/>
        <v/>
      </c>
    </row>
    <row r="221" spans="1:4">
      <c r="A221" s="1" t="str">
        <f t="shared" si="13"/>
        <v>-</v>
      </c>
      <c r="B221" s="3" t="str">
        <f t="shared" si="14"/>
        <v>-</v>
      </c>
      <c r="D221" s="1" t="str">
        <f t="shared" si="12"/>
        <v/>
      </c>
    </row>
    <row r="222" spans="1:4">
      <c r="A222" s="1" t="str">
        <f t="shared" si="13"/>
        <v>-</v>
      </c>
      <c r="B222" s="3" t="str">
        <f t="shared" si="14"/>
        <v>-</v>
      </c>
      <c r="D222" s="1" t="str">
        <f t="shared" si="12"/>
        <v/>
      </c>
    </row>
    <row r="223" spans="1:4">
      <c r="A223" s="1" t="str">
        <f t="shared" si="13"/>
        <v>-</v>
      </c>
      <c r="B223" s="3" t="str">
        <f t="shared" si="14"/>
        <v>-</v>
      </c>
      <c r="D223" s="1" t="str">
        <f t="shared" si="12"/>
        <v/>
      </c>
    </row>
    <row r="224" spans="1:4">
      <c r="A224" s="1" t="str">
        <f t="shared" si="13"/>
        <v>-</v>
      </c>
      <c r="B224" s="3" t="str">
        <f t="shared" si="14"/>
        <v>-</v>
      </c>
      <c r="D224" s="1" t="str">
        <f t="shared" si="12"/>
        <v/>
      </c>
    </row>
    <row r="225" spans="1:4">
      <c r="A225" s="1" t="str">
        <f t="shared" si="13"/>
        <v>-</v>
      </c>
      <c r="B225" s="3" t="str">
        <f t="shared" si="14"/>
        <v>-</v>
      </c>
      <c r="D225" s="1" t="str">
        <f t="shared" si="12"/>
        <v/>
      </c>
    </row>
    <row r="226" spans="1:4">
      <c r="A226" s="1" t="str">
        <f t="shared" si="13"/>
        <v>-</v>
      </c>
      <c r="B226" s="3" t="str">
        <f t="shared" si="14"/>
        <v>-</v>
      </c>
      <c r="D226" s="1" t="str">
        <f t="shared" si="12"/>
        <v/>
      </c>
    </row>
    <row r="227" spans="1:4">
      <c r="A227" s="1" t="str">
        <f t="shared" si="13"/>
        <v>-</v>
      </c>
      <c r="B227" s="3" t="str">
        <f t="shared" si="14"/>
        <v>-</v>
      </c>
      <c r="D227" s="1" t="str">
        <f t="shared" si="12"/>
        <v/>
      </c>
    </row>
    <row r="228" spans="1:4">
      <c r="A228" s="1" t="str">
        <f t="shared" si="13"/>
        <v>-</v>
      </c>
      <c r="B228" s="3" t="str">
        <f t="shared" si="14"/>
        <v>-</v>
      </c>
      <c r="D228" s="1" t="str">
        <f t="shared" si="12"/>
        <v/>
      </c>
    </row>
    <row r="229" spans="1:4">
      <c r="A229" s="1" t="str">
        <f t="shared" si="13"/>
        <v>-</v>
      </c>
      <c r="B229" s="3" t="str">
        <f t="shared" si="14"/>
        <v>-</v>
      </c>
      <c r="D229" s="1" t="str">
        <f t="shared" si="12"/>
        <v/>
      </c>
    </row>
    <row r="230" spans="1:4">
      <c r="A230" s="1" t="str">
        <f t="shared" si="13"/>
        <v>-</v>
      </c>
      <c r="B230" s="3" t="str">
        <f t="shared" si="14"/>
        <v>-</v>
      </c>
      <c r="D230" s="1" t="str">
        <f t="shared" si="12"/>
        <v/>
      </c>
    </row>
    <row r="231" spans="1:4">
      <c r="A231" s="1" t="str">
        <f t="shared" si="13"/>
        <v>-</v>
      </c>
      <c r="B231" s="3" t="str">
        <f t="shared" si="14"/>
        <v>-</v>
      </c>
      <c r="D231" s="1" t="str">
        <f t="shared" si="12"/>
        <v/>
      </c>
    </row>
    <row r="232" spans="1:4">
      <c r="A232" s="1" t="str">
        <f t="shared" si="13"/>
        <v>-</v>
      </c>
      <c r="B232" s="3" t="str">
        <f t="shared" si="14"/>
        <v>-</v>
      </c>
      <c r="D232" s="1" t="str">
        <f t="shared" si="12"/>
        <v/>
      </c>
    </row>
    <row r="233" spans="1:4">
      <c r="A233" s="1" t="str">
        <f t="shared" si="13"/>
        <v>-</v>
      </c>
      <c r="B233" s="3" t="str">
        <f t="shared" si="14"/>
        <v>-</v>
      </c>
      <c r="D233" s="1" t="str">
        <f t="shared" si="12"/>
        <v/>
      </c>
    </row>
    <row r="234" spans="1:4">
      <c r="A234" s="1" t="str">
        <f t="shared" si="13"/>
        <v>-</v>
      </c>
      <c r="B234" s="3" t="str">
        <f t="shared" si="14"/>
        <v>-</v>
      </c>
      <c r="D234" s="1" t="str">
        <f t="shared" si="12"/>
        <v/>
      </c>
    </row>
    <row r="235" spans="1:4">
      <c r="A235" s="1" t="str">
        <f t="shared" si="13"/>
        <v>-</v>
      </c>
      <c r="B235" s="3" t="str">
        <f t="shared" si="14"/>
        <v>-</v>
      </c>
      <c r="D235" s="1" t="str">
        <f t="shared" si="12"/>
        <v/>
      </c>
    </row>
    <row r="236" spans="1:4">
      <c r="A236" s="1" t="str">
        <f t="shared" si="13"/>
        <v>-</v>
      </c>
      <c r="B236" s="3" t="str">
        <f t="shared" si="14"/>
        <v>-</v>
      </c>
      <c r="D236" s="1" t="str">
        <f t="shared" si="12"/>
        <v/>
      </c>
    </row>
    <row r="237" spans="1:4">
      <c r="A237" s="1" t="str">
        <f t="shared" si="13"/>
        <v>-</v>
      </c>
      <c r="B237" s="3" t="str">
        <f t="shared" si="14"/>
        <v>-</v>
      </c>
      <c r="D237" s="1" t="str">
        <f t="shared" si="12"/>
        <v/>
      </c>
    </row>
    <row r="238" spans="1:4">
      <c r="A238" s="1" t="str">
        <f t="shared" si="13"/>
        <v>-</v>
      </c>
      <c r="B238" s="3" t="str">
        <f t="shared" si="14"/>
        <v>-</v>
      </c>
      <c r="D238" s="1" t="str">
        <f t="shared" si="12"/>
        <v/>
      </c>
    </row>
    <row r="239" spans="1:4">
      <c r="A239" s="1" t="str">
        <f t="shared" si="13"/>
        <v>-</v>
      </c>
      <c r="B239" s="3" t="str">
        <f t="shared" si="14"/>
        <v>-</v>
      </c>
      <c r="D239" s="1" t="str">
        <f t="shared" si="12"/>
        <v/>
      </c>
    </row>
    <row r="240" spans="1:4">
      <c r="A240" s="1" t="str">
        <f t="shared" si="13"/>
        <v>-</v>
      </c>
      <c r="B240" s="3" t="str">
        <f t="shared" si="14"/>
        <v>-</v>
      </c>
      <c r="D240" s="1" t="str">
        <f t="shared" si="12"/>
        <v/>
      </c>
    </row>
    <row r="241" spans="1:4">
      <c r="A241" s="1" t="str">
        <f t="shared" si="13"/>
        <v>-</v>
      </c>
      <c r="B241" s="3" t="str">
        <f t="shared" si="14"/>
        <v>-</v>
      </c>
      <c r="D241" s="1" t="str">
        <f t="shared" si="12"/>
        <v/>
      </c>
    </row>
    <row r="242" spans="1:4">
      <c r="A242" s="1" t="str">
        <f t="shared" si="13"/>
        <v>-</v>
      </c>
      <c r="B242" s="3" t="str">
        <f t="shared" si="14"/>
        <v>-</v>
      </c>
      <c r="D242" s="1" t="str">
        <f t="shared" si="12"/>
        <v/>
      </c>
    </row>
    <row r="243" spans="1:4">
      <c r="A243" s="1" t="str">
        <f t="shared" si="13"/>
        <v>-</v>
      </c>
      <c r="B243" s="3" t="str">
        <f t="shared" si="14"/>
        <v>-</v>
      </c>
      <c r="D243" s="1" t="str">
        <f t="shared" si="12"/>
        <v/>
      </c>
    </row>
    <row r="244" spans="1:4">
      <c r="A244" s="1" t="str">
        <f t="shared" si="13"/>
        <v>-</v>
      </c>
      <c r="B244" s="3" t="str">
        <f t="shared" si="14"/>
        <v>-</v>
      </c>
      <c r="D244" s="1" t="str">
        <f t="shared" si="12"/>
        <v/>
      </c>
    </row>
    <row r="245" spans="1:4">
      <c r="A245" s="1" t="str">
        <f t="shared" si="13"/>
        <v>-</v>
      </c>
      <c r="B245" s="3" t="str">
        <f t="shared" si="14"/>
        <v>-</v>
      </c>
      <c r="D245" s="1" t="str">
        <f t="shared" si="12"/>
        <v/>
      </c>
    </row>
    <row r="246" spans="1:4">
      <c r="A246" s="1" t="str">
        <f t="shared" si="13"/>
        <v>-</v>
      </c>
      <c r="B246" s="3" t="str">
        <f t="shared" si="14"/>
        <v>-</v>
      </c>
      <c r="D246" s="1" t="str">
        <f t="shared" si="12"/>
        <v/>
      </c>
    </row>
    <row r="247" spans="1:4">
      <c r="A247" s="1" t="str">
        <f t="shared" si="13"/>
        <v>-</v>
      </c>
      <c r="B247" s="3" t="str">
        <f t="shared" si="14"/>
        <v>-</v>
      </c>
      <c r="D247" s="1" t="str">
        <f t="shared" si="12"/>
        <v/>
      </c>
    </row>
    <row r="248" spans="1:4">
      <c r="A248" s="1" t="str">
        <f t="shared" si="13"/>
        <v>-</v>
      </c>
      <c r="B248" s="3" t="str">
        <f t="shared" si="14"/>
        <v>-</v>
      </c>
      <c r="D248" s="1" t="str">
        <f t="shared" si="12"/>
        <v/>
      </c>
    </row>
    <row r="249" spans="1:4">
      <c r="A249" s="1" t="str">
        <f t="shared" si="13"/>
        <v>-</v>
      </c>
      <c r="B249" s="3" t="str">
        <f t="shared" si="14"/>
        <v>-</v>
      </c>
      <c r="D249" s="1" t="str">
        <f t="shared" si="12"/>
        <v/>
      </c>
    </row>
    <row r="250" spans="1:4">
      <c r="A250" s="1" t="str">
        <f t="shared" si="13"/>
        <v>-</v>
      </c>
      <c r="B250" s="3" t="str">
        <f t="shared" si="14"/>
        <v>-</v>
      </c>
      <c r="D250" s="1" t="str">
        <f t="shared" si="12"/>
        <v/>
      </c>
    </row>
    <row r="251" spans="1:4">
      <c r="A251" s="1" t="str">
        <f t="shared" si="13"/>
        <v>-</v>
      </c>
      <c r="B251" s="3" t="str">
        <f t="shared" si="14"/>
        <v>-</v>
      </c>
      <c r="D251" s="1" t="str">
        <f t="shared" si="12"/>
        <v/>
      </c>
    </row>
    <row r="252" spans="1:4">
      <c r="A252" s="1" t="str">
        <f t="shared" si="13"/>
        <v>-</v>
      </c>
      <c r="B252" s="3" t="str">
        <f t="shared" si="14"/>
        <v>-</v>
      </c>
      <c r="D252" s="1" t="str">
        <f t="shared" si="12"/>
        <v/>
      </c>
    </row>
    <row r="253" spans="1:4">
      <c r="A253" s="1" t="str">
        <f t="shared" si="13"/>
        <v>-</v>
      </c>
      <c r="B253" s="3" t="str">
        <f t="shared" si="14"/>
        <v>-</v>
      </c>
      <c r="D253" s="1" t="str">
        <f t="shared" si="12"/>
        <v/>
      </c>
    </row>
    <row r="254" spans="1:4">
      <c r="A254" s="1" t="str">
        <f t="shared" si="13"/>
        <v>-</v>
      </c>
      <c r="B254" s="3" t="str">
        <f t="shared" si="14"/>
        <v>-</v>
      </c>
      <c r="D254" s="1" t="str">
        <f t="shared" si="12"/>
        <v/>
      </c>
    </row>
    <row r="255" spans="1:4">
      <c r="A255" s="1" t="str">
        <f t="shared" si="13"/>
        <v>-</v>
      </c>
      <c r="B255" s="3" t="str">
        <f t="shared" si="14"/>
        <v>-</v>
      </c>
      <c r="D255" s="1" t="str">
        <f t="shared" si="12"/>
        <v/>
      </c>
    </row>
    <row r="256" spans="1:4">
      <c r="A256" s="1" t="str">
        <f t="shared" si="13"/>
        <v>-</v>
      </c>
      <c r="B256" s="3" t="str">
        <f t="shared" si="14"/>
        <v>-</v>
      </c>
      <c r="D256" s="1" t="str">
        <f t="shared" si="12"/>
        <v/>
      </c>
    </row>
    <row r="257" spans="1:4">
      <c r="A257" s="1" t="str">
        <f t="shared" si="13"/>
        <v>-</v>
      </c>
      <c r="B257" s="3" t="str">
        <f t="shared" si="14"/>
        <v>-</v>
      </c>
      <c r="D257" s="1" t="str">
        <f t="shared" si="12"/>
        <v/>
      </c>
    </row>
    <row r="258" spans="1:4">
      <c r="A258" s="1" t="str">
        <f t="shared" si="13"/>
        <v>-</v>
      </c>
      <c r="B258" s="3" t="str">
        <f t="shared" si="14"/>
        <v>-</v>
      </c>
      <c r="D258" s="1" t="str">
        <f t="shared" si="12"/>
        <v/>
      </c>
    </row>
    <row r="259" spans="1:4">
      <c r="A259" s="1" t="str">
        <f t="shared" si="13"/>
        <v>-</v>
      </c>
      <c r="B259" s="3" t="str">
        <f t="shared" si="14"/>
        <v>-</v>
      </c>
      <c r="D259" s="1" t="str">
        <f t="shared" si="12"/>
        <v/>
      </c>
    </row>
    <row r="260" spans="1:4">
      <c r="A260" s="1" t="str">
        <f t="shared" si="13"/>
        <v>-</v>
      </c>
      <c r="B260" s="3" t="str">
        <f t="shared" si="14"/>
        <v>-</v>
      </c>
      <c r="D260" s="1" t="str">
        <f t="shared" si="12"/>
        <v/>
      </c>
    </row>
    <row r="261" spans="1:4">
      <c r="A261" s="1" t="str">
        <f t="shared" si="13"/>
        <v>-</v>
      </c>
      <c r="B261" s="3" t="str">
        <f t="shared" si="14"/>
        <v>-</v>
      </c>
      <c r="D261" s="1" t="str">
        <f t="shared" si="12"/>
        <v/>
      </c>
    </row>
    <row r="262" spans="1:4">
      <c r="A262" s="1" t="str">
        <f t="shared" si="13"/>
        <v>-</v>
      </c>
      <c r="B262" s="3" t="str">
        <f t="shared" si="14"/>
        <v>-</v>
      </c>
      <c r="D262" s="1" t="str">
        <f t="shared" si="12"/>
        <v/>
      </c>
    </row>
    <row r="263" spans="1:4">
      <c r="A263" s="1" t="str">
        <f t="shared" si="13"/>
        <v>-</v>
      </c>
      <c r="B263" s="3" t="str">
        <f t="shared" si="14"/>
        <v>-</v>
      </c>
      <c r="D263" s="1" t="str">
        <f t="shared" si="12"/>
        <v/>
      </c>
    </row>
    <row r="264" spans="1:4">
      <c r="A264" s="1" t="str">
        <f t="shared" si="13"/>
        <v>-</v>
      </c>
      <c r="B264" s="3" t="str">
        <f t="shared" si="14"/>
        <v>-</v>
      </c>
      <c r="D264" s="1" t="str">
        <f t="shared" si="12"/>
        <v/>
      </c>
    </row>
    <row r="265" spans="1:4">
      <c r="A265" s="1" t="str">
        <f t="shared" si="13"/>
        <v>-</v>
      </c>
      <c r="B265" s="3" t="str">
        <f t="shared" si="14"/>
        <v>-</v>
      </c>
      <c r="D265" s="1" t="str">
        <f t="shared" si="12"/>
        <v/>
      </c>
    </row>
    <row r="266" spans="1:4">
      <c r="A266" s="1" t="str">
        <f t="shared" si="13"/>
        <v>-</v>
      </c>
      <c r="B266" s="3" t="str">
        <f t="shared" si="14"/>
        <v>-</v>
      </c>
      <c r="D266" s="1" t="str">
        <f t="shared" si="12"/>
        <v/>
      </c>
    </row>
    <row r="267" spans="1:4">
      <c r="A267" s="1" t="str">
        <f t="shared" si="13"/>
        <v>-</v>
      </c>
      <c r="B267" s="3" t="str">
        <f t="shared" si="14"/>
        <v>-</v>
      </c>
      <c r="D267" s="1" t="str">
        <f t="shared" ref="D267:D330" si="15">IF(F267&lt;&gt;"",RIGHT(F267, LEN(F267) - FIND(" - ", F267) - 2),"")</f>
        <v/>
      </c>
    </row>
    <row r="268" spans="1:4">
      <c r="A268" s="1" t="str">
        <f t="shared" si="13"/>
        <v>-</v>
      </c>
      <c r="B268" s="3" t="str">
        <f t="shared" si="14"/>
        <v>-</v>
      </c>
      <c r="D268" s="1" t="str">
        <f t="shared" si="15"/>
        <v/>
      </c>
    </row>
    <row r="269" spans="1:4">
      <c r="A269" s="1" t="str">
        <f t="shared" si="13"/>
        <v>-</v>
      </c>
      <c r="B269" s="3" t="str">
        <f t="shared" si="14"/>
        <v>-</v>
      </c>
      <c r="D269" s="1" t="str">
        <f t="shared" si="15"/>
        <v/>
      </c>
    </row>
    <row r="270" spans="1:4">
      <c r="A270" s="1" t="str">
        <f t="shared" si="13"/>
        <v>-</v>
      </c>
      <c r="B270" s="3" t="str">
        <f t="shared" si="14"/>
        <v>-</v>
      </c>
      <c r="D270" s="1" t="str">
        <f t="shared" si="15"/>
        <v/>
      </c>
    </row>
    <row r="271" spans="1:4">
      <c r="A271" s="1" t="str">
        <f t="shared" si="13"/>
        <v>-</v>
      </c>
      <c r="B271" s="3" t="str">
        <f t="shared" si="14"/>
        <v>-</v>
      </c>
      <c r="D271" s="1" t="str">
        <f t="shared" si="15"/>
        <v/>
      </c>
    </row>
    <row r="272" spans="1:4">
      <c r="A272" s="1" t="str">
        <f t="shared" si="13"/>
        <v>-</v>
      </c>
      <c r="B272" s="3" t="str">
        <f t="shared" si="14"/>
        <v>-</v>
      </c>
      <c r="D272" s="1" t="str">
        <f t="shared" si="15"/>
        <v/>
      </c>
    </row>
    <row r="273" spans="1:4">
      <c r="A273" s="1" t="str">
        <f t="shared" si="13"/>
        <v>-</v>
      </c>
      <c r="B273" s="3" t="str">
        <f t="shared" si="14"/>
        <v>-</v>
      </c>
      <c r="D273" s="1" t="str">
        <f t="shared" si="15"/>
        <v/>
      </c>
    </row>
    <row r="274" spans="1:4">
      <c r="A274" s="1" t="str">
        <f t="shared" si="13"/>
        <v>-</v>
      </c>
      <c r="B274" s="3" t="str">
        <f t="shared" si="14"/>
        <v>-</v>
      </c>
      <c r="D274" s="1" t="str">
        <f t="shared" si="15"/>
        <v/>
      </c>
    </row>
    <row r="275" spans="1:4">
      <c r="A275" s="1" t="str">
        <f t="shared" si="13"/>
        <v>-</v>
      </c>
      <c r="B275" s="3" t="str">
        <f t="shared" si="14"/>
        <v>-</v>
      </c>
      <c r="D275" s="1" t="str">
        <f t="shared" si="15"/>
        <v/>
      </c>
    </row>
    <row r="276" spans="1:4">
      <c r="A276" s="1" t="str">
        <f t="shared" si="13"/>
        <v>-</v>
      </c>
      <c r="B276" s="3" t="str">
        <f t="shared" si="14"/>
        <v>-</v>
      </c>
      <c r="D276" s="1" t="str">
        <f t="shared" si="15"/>
        <v/>
      </c>
    </row>
    <row r="277" spans="1:4">
      <c r="A277" s="1" t="str">
        <f t="shared" ref="A277:A289" si="16">IF(E277&lt;&gt;"",TEXT(E277, "hh:mm"),"-")</f>
        <v>-</v>
      </c>
      <c r="B277" s="3" t="str">
        <f t="shared" ref="B277:B289" si="17">IF(E277&lt;&gt;"",DATE(YEAR(E277),MONTH(E277), DAY(E277)),"-")</f>
        <v>-</v>
      </c>
      <c r="D277" s="1" t="str">
        <f t="shared" si="15"/>
        <v/>
      </c>
    </row>
    <row r="278" spans="1:4">
      <c r="A278" s="1" t="str">
        <f t="shared" si="16"/>
        <v>-</v>
      </c>
      <c r="B278" s="3" t="str">
        <f t="shared" si="17"/>
        <v>-</v>
      </c>
      <c r="D278" s="1" t="str">
        <f t="shared" si="15"/>
        <v/>
      </c>
    </row>
    <row r="279" spans="1:4">
      <c r="A279" s="1" t="str">
        <f t="shared" si="16"/>
        <v>-</v>
      </c>
      <c r="B279" s="3" t="str">
        <f t="shared" si="17"/>
        <v>-</v>
      </c>
      <c r="D279" s="1" t="str">
        <f t="shared" si="15"/>
        <v/>
      </c>
    </row>
    <row r="280" spans="1:4">
      <c r="A280" s="1" t="str">
        <f t="shared" si="16"/>
        <v>-</v>
      </c>
      <c r="B280" s="3" t="str">
        <f t="shared" si="17"/>
        <v>-</v>
      </c>
      <c r="D280" s="1" t="str">
        <f t="shared" si="15"/>
        <v/>
      </c>
    </row>
    <row r="281" spans="1:4">
      <c r="A281" s="1" t="str">
        <f t="shared" si="16"/>
        <v>-</v>
      </c>
      <c r="B281" s="3" t="str">
        <f t="shared" si="17"/>
        <v>-</v>
      </c>
      <c r="D281" s="1" t="str">
        <f t="shared" si="15"/>
        <v/>
      </c>
    </row>
    <row r="282" spans="1:4">
      <c r="A282" s="1" t="str">
        <f t="shared" si="16"/>
        <v>-</v>
      </c>
      <c r="B282" s="3" t="str">
        <f t="shared" si="17"/>
        <v>-</v>
      </c>
      <c r="D282" s="1" t="str">
        <f t="shared" si="15"/>
        <v/>
      </c>
    </row>
    <row r="283" spans="1:4">
      <c r="A283" s="1" t="str">
        <f t="shared" si="16"/>
        <v>-</v>
      </c>
      <c r="B283" s="3" t="str">
        <f t="shared" si="17"/>
        <v>-</v>
      </c>
      <c r="D283" s="1" t="str">
        <f t="shared" si="15"/>
        <v/>
      </c>
    </row>
    <row r="284" spans="1:4">
      <c r="A284" s="1" t="str">
        <f t="shared" si="16"/>
        <v>-</v>
      </c>
      <c r="B284" s="3" t="str">
        <f t="shared" si="17"/>
        <v>-</v>
      </c>
      <c r="D284" s="1" t="str">
        <f t="shared" si="15"/>
        <v/>
      </c>
    </row>
    <row r="285" spans="1:4">
      <c r="A285" s="1" t="str">
        <f t="shared" si="16"/>
        <v>-</v>
      </c>
      <c r="B285" s="3" t="str">
        <f t="shared" si="17"/>
        <v>-</v>
      </c>
      <c r="D285" s="1" t="str">
        <f t="shared" si="15"/>
        <v/>
      </c>
    </row>
    <row r="286" spans="1:4">
      <c r="A286" s="1" t="str">
        <f t="shared" si="16"/>
        <v>-</v>
      </c>
      <c r="B286" s="3" t="str">
        <f t="shared" si="17"/>
        <v>-</v>
      </c>
      <c r="D286" s="1" t="str">
        <f t="shared" si="15"/>
        <v/>
      </c>
    </row>
    <row r="287" spans="1:4">
      <c r="A287" s="1" t="str">
        <f t="shared" si="16"/>
        <v>-</v>
      </c>
      <c r="B287" s="3" t="str">
        <f t="shared" si="17"/>
        <v>-</v>
      </c>
      <c r="D287" s="1" t="str">
        <f t="shared" si="15"/>
        <v/>
      </c>
    </row>
    <row r="288" spans="1:4">
      <c r="A288" s="1" t="str">
        <f t="shared" si="16"/>
        <v>-</v>
      </c>
      <c r="B288" s="3" t="str">
        <f t="shared" si="17"/>
        <v>-</v>
      </c>
      <c r="D288" s="1" t="str">
        <f t="shared" si="15"/>
        <v/>
      </c>
    </row>
    <row r="289" spans="1:4">
      <c r="A289" s="1" t="str">
        <f t="shared" si="16"/>
        <v>-</v>
      </c>
      <c r="B289" s="3" t="str">
        <f t="shared" si="17"/>
        <v>-</v>
      </c>
      <c r="D289" s="1" t="str">
        <f t="shared" si="15"/>
        <v/>
      </c>
    </row>
    <row r="290" spans="1:4">
      <c r="D290" s="1" t="str">
        <f t="shared" si="15"/>
        <v/>
      </c>
    </row>
    <row r="291" spans="1:4">
      <c r="D291" s="1" t="str">
        <f t="shared" si="15"/>
        <v/>
      </c>
    </row>
    <row r="292" spans="1:4">
      <c r="D292" s="1" t="str">
        <f t="shared" si="15"/>
        <v/>
      </c>
    </row>
    <row r="293" spans="1:4">
      <c r="D293" s="1" t="str">
        <f t="shared" si="15"/>
        <v/>
      </c>
    </row>
    <row r="294" spans="1:4">
      <c r="D294" s="1" t="str">
        <f t="shared" si="15"/>
        <v/>
      </c>
    </row>
    <row r="295" spans="1:4">
      <c r="D295" s="1" t="str">
        <f t="shared" si="15"/>
        <v/>
      </c>
    </row>
    <row r="296" spans="1:4">
      <c r="D296" s="1" t="str">
        <f t="shared" si="15"/>
        <v/>
      </c>
    </row>
    <row r="297" spans="1:4">
      <c r="D297" s="1" t="str">
        <f t="shared" si="15"/>
        <v/>
      </c>
    </row>
    <row r="298" spans="1:4">
      <c r="D298" s="1" t="str">
        <f t="shared" si="15"/>
        <v/>
      </c>
    </row>
    <row r="299" spans="1:4">
      <c r="D299" s="1" t="str">
        <f t="shared" si="15"/>
        <v/>
      </c>
    </row>
    <row r="300" spans="1:4">
      <c r="D300" s="1" t="str">
        <f t="shared" si="15"/>
        <v/>
      </c>
    </row>
    <row r="301" spans="1:4">
      <c r="D301" s="1" t="str">
        <f t="shared" si="15"/>
        <v/>
      </c>
    </row>
    <row r="302" spans="1:4">
      <c r="D302" s="1" t="str">
        <f t="shared" si="15"/>
        <v/>
      </c>
    </row>
    <row r="303" spans="1:4">
      <c r="D303" s="1" t="str">
        <f t="shared" si="15"/>
        <v/>
      </c>
    </row>
    <row r="304" spans="1:4">
      <c r="D304" s="1" t="str">
        <f t="shared" si="15"/>
        <v/>
      </c>
    </row>
    <row r="305" spans="4:4">
      <c r="D305" s="1" t="str">
        <f t="shared" si="15"/>
        <v/>
      </c>
    </row>
    <row r="306" spans="4:4">
      <c r="D306" s="1" t="str">
        <f t="shared" si="15"/>
        <v/>
      </c>
    </row>
    <row r="307" spans="4:4">
      <c r="D307" s="1" t="str">
        <f t="shared" si="15"/>
        <v/>
      </c>
    </row>
    <row r="308" spans="4:4">
      <c r="D308" s="1" t="str">
        <f t="shared" si="15"/>
        <v/>
      </c>
    </row>
    <row r="309" spans="4:4">
      <c r="D309" s="1" t="str">
        <f t="shared" si="15"/>
        <v/>
      </c>
    </row>
    <row r="310" spans="4:4">
      <c r="D310" s="1" t="str">
        <f t="shared" si="15"/>
        <v/>
      </c>
    </row>
    <row r="311" spans="4:4">
      <c r="D311" s="1" t="str">
        <f t="shared" si="15"/>
        <v/>
      </c>
    </row>
    <row r="312" spans="4:4">
      <c r="D312" s="1" t="str">
        <f t="shared" si="15"/>
        <v/>
      </c>
    </row>
    <row r="313" spans="4:4">
      <c r="D313" s="1" t="str">
        <f t="shared" si="15"/>
        <v/>
      </c>
    </row>
    <row r="314" spans="4:4">
      <c r="D314" s="1" t="str">
        <f t="shared" si="15"/>
        <v/>
      </c>
    </row>
    <row r="315" spans="4:4">
      <c r="D315" s="1" t="str">
        <f t="shared" si="15"/>
        <v/>
      </c>
    </row>
    <row r="316" spans="4:4">
      <c r="D316" s="1" t="str">
        <f t="shared" si="15"/>
        <v/>
      </c>
    </row>
    <row r="317" spans="4:4">
      <c r="D317" s="1" t="str">
        <f t="shared" si="15"/>
        <v/>
      </c>
    </row>
    <row r="318" spans="4:4">
      <c r="D318" s="1" t="str">
        <f t="shared" si="15"/>
        <v/>
      </c>
    </row>
    <row r="319" spans="4:4">
      <c r="D319" s="1" t="str">
        <f t="shared" si="15"/>
        <v/>
      </c>
    </row>
    <row r="320" spans="4:4">
      <c r="D320" s="1" t="str">
        <f t="shared" si="15"/>
        <v/>
      </c>
    </row>
    <row r="321" spans="4:4">
      <c r="D321" s="1" t="str">
        <f t="shared" si="15"/>
        <v/>
      </c>
    </row>
    <row r="322" spans="4:4">
      <c r="D322" s="1" t="str">
        <f t="shared" si="15"/>
        <v/>
      </c>
    </row>
    <row r="323" spans="4:4">
      <c r="D323" s="1" t="str">
        <f t="shared" si="15"/>
        <v/>
      </c>
    </row>
    <row r="324" spans="4:4">
      <c r="D324" s="1" t="str">
        <f t="shared" si="15"/>
        <v/>
      </c>
    </row>
    <row r="325" spans="4:4">
      <c r="D325" s="1" t="str">
        <f t="shared" si="15"/>
        <v/>
      </c>
    </row>
    <row r="326" spans="4:4">
      <c r="D326" s="1" t="str">
        <f t="shared" si="15"/>
        <v/>
      </c>
    </row>
    <row r="327" spans="4:4">
      <c r="D327" s="1" t="str">
        <f t="shared" si="15"/>
        <v/>
      </c>
    </row>
    <row r="328" spans="4:4">
      <c r="D328" s="1" t="str">
        <f t="shared" si="15"/>
        <v/>
      </c>
    </row>
    <row r="329" spans="4:4">
      <c r="D329" s="1" t="str">
        <f t="shared" si="15"/>
        <v/>
      </c>
    </row>
    <row r="330" spans="4:4">
      <c r="D330" s="1" t="str">
        <f t="shared" si="15"/>
        <v/>
      </c>
    </row>
    <row r="331" spans="4:4">
      <c r="D331" s="1" t="str">
        <f t="shared" ref="D331:D394" si="18">IF(F331&lt;&gt;"",RIGHT(F331, LEN(F331) - FIND(" - ", F331) - 2),"")</f>
        <v/>
      </c>
    </row>
    <row r="332" spans="4:4">
      <c r="D332" s="1" t="str">
        <f t="shared" si="18"/>
        <v/>
      </c>
    </row>
    <row r="333" spans="4:4">
      <c r="D333" s="1" t="str">
        <f t="shared" si="18"/>
        <v/>
      </c>
    </row>
    <row r="334" spans="4:4">
      <c r="D334" s="1" t="str">
        <f t="shared" si="18"/>
        <v/>
      </c>
    </row>
    <row r="335" spans="4:4">
      <c r="D335" s="1" t="str">
        <f t="shared" si="18"/>
        <v/>
      </c>
    </row>
    <row r="336" spans="4:4">
      <c r="D336" s="1" t="str">
        <f t="shared" si="18"/>
        <v/>
      </c>
    </row>
    <row r="337" spans="4:4">
      <c r="D337" s="1" t="str">
        <f t="shared" si="18"/>
        <v/>
      </c>
    </row>
    <row r="338" spans="4:4">
      <c r="D338" s="1" t="str">
        <f t="shared" si="18"/>
        <v/>
      </c>
    </row>
    <row r="339" spans="4:4">
      <c r="D339" s="1" t="str">
        <f t="shared" si="18"/>
        <v/>
      </c>
    </row>
    <row r="340" spans="4:4">
      <c r="D340" s="1" t="str">
        <f t="shared" si="18"/>
        <v/>
      </c>
    </row>
    <row r="341" spans="4:4">
      <c r="D341" s="1" t="str">
        <f t="shared" si="18"/>
        <v/>
      </c>
    </row>
    <row r="342" spans="4:4">
      <c r="D342" s="1" t="str">
        <f t="shared" si="18"/>
        <v/>
      </c>
    </row>
    <row r="343" spans="4:4">
      <c r="D343" s="1" t="str">
        <f t="shared" si="18"/>
        <v/>
      </c>
    </row>
    <row r="344" spans="4:4">
      <c r="D344" s="1" t="str">
        <f t="shared" si="18"/>
        <v/>
      </c>
    </row>
    <row r="345" spans="4:4">
      <c r="D345" s="1" t="str">
        <f t="shared" si="18"/>
        <v/>
      </c>
    </row>
    <row r="346" spans="4:4">
      <c r="D346" s="1" t="str">
        <f t="shared" si="18"/>
        <v/>
      </c>
    </row>
    <row r="347" spans="4:4">
      <c r="D347" s="1" t="str">
        <f t="shared" si="18"/>
        <v/>
      </c>
    </row>
    <row r="348" spans="4:4">
      <c r="D348" s="1" t="str">
        <f t="shared" si="18"/>
        <v/>
      </c>
    </row>
    <row r="349" spans="4:4">
      <c r="D349" s="1" t="str">
        <f t="shared" si="18"/>
        <v/>
      </c>
    </row>
    <row r="350" spans="4:4">
      <c r="D350" s="1" t="str">
        <f t="shared" si="18"/>
        <v/>
      </c>
    </row>
    <row r="351" spans="4:4">
      <c r="D351" s="1" t="str">
        <f t="shared" si="18"/>
        <v/>
      </c>
    </row>
    <row r="352" spans="4:4">
      <c r="D352" s="1" t="str">
        <f t="shared" si="18"/>
        <v/>
      </c>
    </row>
    <row r="353" spans="4:4">
      <c r="D353" s="1" t="str">
        <f t="shared" si="18"/>
        <v/>
      </c>
    </row>
    <row r="354" spans="4:4">
      <c r="D354" s="1" t="str">
        <f t="shared" si="18"/>
        <v/>
      </c>
    </row>
    <row r="355" spans="4:4">
      <c r="D355" s="1" t="str">
        <f t="shared" si="18"/>
        <v/>
      </c>
    </row>
    <row r="356" spans="4:4">
      <c r="D356" s="1" t="str">
        <f t="shared" si="18"/>
        <v/>
      </c>
    </row>
    <row r="357" spans="4:4">
      <c r="D357" s="1" t="str">
        <f t="shared" si="18"/>
        <v/>
      </c>
    </row>
    <row r="358" spans="4:4">
      <c r="D358" s="1" t="str">
        <f t="shared" si="18"/>
        <v/>
      </c>
    </row>
    <row r="359" spans="4:4">
      <c r="D359" s="1" t="str">
        <f t="shared" si="18"/>
        <v/>
      </c>
    </row>
    <row r="360" spans="4:4">
      <c r="D360" s="1" t="str">
        <f t="shared" si="18"/>
        <v/>
      </c>
    </row>
    <row r="361" spans="4:4">
      <c r="D361" s="1" t="str">
        <f t="shared" si="18"/>
        <v/>
      </c>
    </row>
    <row r="362" spans="4:4">
      <c r="D362" s="1" t="str">
        <f t="shared" si="18"/>
        <v/>
      </c>
    </row>
    <row r="363" spans="4:4">
      <c r="D363" s="1" t="str">
        <f t="shared" si="18"/>
        <v/>
      </c>
    </row>
    <row r="364" spans="4:4">
      <c r="D364" s="1" t="str">
        <f t="shared" si="18"/>
        <v/>
      </c>
    </row>
    <row r="365" spans="4:4">
      <c r="D365" s="1" t="str">
        <f t="shared" si="18"/>
        <v/>
      </c>
    </row>
    <row r="366" spans="4:4">
      <c r="D366" s="1" t="str">
        <f t="shared" si="18"/>
        <v/>
      </c>
    </row>
    <row r="367" spans="4:4">
      <c r="D367" s="1" t="str">
        <f t="shared" si="18"/>
        <v/>
      </c>
    </row>
    <row r="368" spans="4:4">
      <c r="D368" s="1" t="str">
        <f t="shared" si="18"/>
        <v/>
      </c>
    </row>
    <row r="369" spans="4:4">
      <c r="D369" s="1" t="str">
        <f t="shared" si="18"/>
        <v/>
      </c>
    </row>
    <row r="370" spans="4:4">
      <c r="D370" s="1" t="str">
        <f t="shared" si="18"/>
        <v/>
      </c>
    </row>
    <row r="371" spans="4:4">
      <c r="D371" s="1" t="str">
        <f t="shared" si="18"/>
        <v/>
      </c>
    </row>
    <row r="372" spans="4:4">
      <c r="D372" s="1" t="str">
        <f t="shared" si="18"/>
        <v/>
      </c>
    </row>
    <row r="373" spans="4:4">
      <c r="D373" s="1" t="str">
        <f t="shared" si="18"/>
        <v/>
      </c>
    </row>
    <row r="374" spans="4:4">
      <c r="D374" s="1" t="str">
        <f t="shared" si="18"/>
        <v/>
      </c>
    </row>
    <row r="375" spans="4:4">
      <c r="D375" s="1" t="str">
        <f t="shared" si="18"/>
        <v/>
      </c>
    </row>
    <row r="376" spans="4:4">
      <c r="D376" s="1" t="str">
        <f t="shared" si="18"/>
        <v/>
      </c>
    </row>
    <row r="377" spans="4:4">
      <c r="D377" s="1" t="str">
        <f t="shared" si="18"/>
        <v/>
      </c>
    </row>
    <row r="378" spans="4:4">
      <c r="D378" s="1" t="str">
        <f t="shared" si="18"/>
        <v/>
      </c>
    </row>
    <row r="379" spans="4:4">
      <c r="D379" s="1" t="str">
        <f t="shared" si="18"/>
        <v/>
      </c>
    </row>
    <row r="380" spans="4:4">
      <c r="D380" s="1" t="str">
        <f t="shared" si="18"/>
        <v/>
      </c>
    </row>
    <row r="381" spans="4:4">
      <c r="D381" s="1" t="str">
        <f t="shared" si="18"/>
        <v/>
      </c>
    </row>
    <row r="382" spans="4:4">
      <c r="D382" s="1" t="str">
        <f t="shared" si="18"/>
        <v/>
      </c>
    </row>
    <row r="383" spans="4:4">
      <c r="D383" s="1" t="str">
        <f t="shared" si="18"/>
        <v/>
      </c>
    </row>
    <row r="384" spans="4:4">
      <c r="D384" s="1" t="str">
        <f t="shared" si="18"/>
        <v/>
      </c>
    </row>
    <row r="385" spans="4:4">
      <c r="D385" s="1" t="str">
        <f t="shared" si="18"/>
        <v/>
      </c>
    </row>
    <row r="386" spans="4:4">
      <c r="D386" s="1" t="str">
        <f t="shared" si="18"/>
        <v/>
      </c>
    </row>
    <row r="387" spans="4:4">
      <c r="D387" s="1" t="str">
        <f t="shared" si="18"/>
        <v/>
      </c>
    </row>
    <row r="388" spans="4:4">
      <c r="D388" s="1" t="str">
        <f t="shared" si="18"/>
        <v/>
      </c>
    </row>
    <row r="389" spans="4:4">
      <c r="D389" s="1" t="str">
        <f t="shared" si="18"/>
        <v/>
      </c>
    </row>
    <row r="390" spans="4:4">
      <c r="D390" s="1" t="str">
        <f t="shared" si="18"/>
        <v/>
      </c>
    </row>
    <row r="391" spans="4:4">
      <c r="D391" s="1" t="str">
        <f t="shared" si="18"/>
        <v/>
      </c>
    </row>
    <row r="392" spans="4:4">
      <c r="D392" s="1" t="str">
        <f t="shared" si="18"/>
        <v/>
      </c>
    </row>
    <row r="393" spans="4:4">
      <c r="D393" s="1" t="str">
        <f t="shared" si="18"/>
        <v/>
      </c>
    </row>
    <row r="394" spans="4:4">
      <c r="D394" s="1" t="str">
        <f t="shared" si="18"/>
        <v/>
      </c>
    </row>
    <row r="395" spans="4:4">
      <c r="D395" s="1" t="str">
        <f t="shared" ref="D395:D458" si="19">IF(F395&lt;&gt;"",RIGHT(F395, LEN(F395) - FIND(" - ", F395) - 2),"")</f>
        <v/>
      </c>
    </row>
    <row r="396" spans="4:4">
      <c r="D396" s="1" t="str">
        <f t="shared" si="19"/>
        <v/>
      </c>
    </row>
    <row r="397" spans="4:4">
      <c r="D397" s="1" t="str">
        <f t="shared" si="19"/>
        <v/>
      </c>
    </row>
    <row r="398" spans="4:4">
      <c r="D398" s="1" t="str">
        <f t="shared" si="19"/>
        <v/>
      </c>
    </row>
    <row r="399" spans="4:4">
      <c r="D399" s="1" t="str">
        <f t="shared" si="19"/>
        <v/>
      </c>
    </row>
    <row r="400" spans="4:4">
      <c r="D400" s="1" t="str">
        <f t="shared" si="19"/>
        <v/>
      </c>
    </row>
    <row r="401" spans="4:4">
      <c r="D401" s="1" t="str">
        <f t="shared" si="19"/>
        <v/>
      </c>
    </row>
    <row r="402" spans="4:4">
      <c r="D402" s="1" t="str">
        <f t="shared" si="19"/>
        <v/>
      </c>
    </row>
    <row r="403" spans="4:4">
      <c r="D403" s="1" t="str">
        <f t="shared" si="19"/>
        <v/>
      </c>
    </row>
    <row r="404" spans="4:4">
      <c r="D404" s="1" t="str">
        <f t="shared" si="19"/>
        <v/>
      </c>
    </row>
    <row r="405" spans="4:4">
      <c r="D405" s="1" t="str">
        <f t="shared" si="19"/>
        <v/>
      </c>
    </row>
    <row r="406" spans="4:4">
      <c r="D406" s="1" t="str">
        <f t="shared" si="19"/>
        <v/>
      </c>
    </row>
    <row r="407" spans="4:4">
      <c r="D407" s="1" t="str">
        <f t="shared" si="19"/>
        <v/>
      </c>
    </row>
    <row r="408" spans="4:4">
      <c r="D408" s="1" t="str">
        <f t="shared" si="19"/>
        <v/>
      </c>
    </row>
    <row r="409" spans="4:4">
      <c r="D409" s="1" t="str">
        <f t="shared" si="19"/>
        <v/>
      </c>
    </row>
    <row r="410" spans="4:4">
      <c r="D410" s="1" t="str">
        <f t="shared" si="19"/>
        <v/>
      </c>
    </row>
    <row r="411" spans="4:4">
      <c r="D411" s="1" t="str">
        <f t="shared" si="19"/>
        <v/>
      </c>
    </row>
    <row r="412" spans="4:4">
      <c r="D412" s="1" t="str">
        <f t="shared" si="19"/>
        <v/>
      </c>
    </row>
    <row r="413" spans="4:4">
      <c r="D413" s="1" t="str">
        <f t="shared" si="19"/>
        <v/>
      </c>
    </row>
    <row r="414" spans="4:4">
      <c r="D414" s="1" t="str">
        <f t="shared" si="19"/>
        <v/>
      </c>
    </row>
    <row r="415" spans="4:4">
      <c r="D415" s="1" t="str">
        <f t="shared" si="19"/>
        <v/>
      </c>
    </row>
    <row r="416" spans="4:4">
      <c r="D416" s="1" t="str">
        <f t="shared" si="19"/>
        <v/>
      </c>
    </row>
    <row r="417" spans="4:4">
      <c r="D417" s="1" t="str">
        <f t="shared" si="19"/>
        <v/>
      </c>
    </row>
    <row r="418" spans="4:4">
      <c r="D418" s="1" t="str">
        <f t="shared" si="19"/>
        <v/>
      </c>
    </row>
    <row r="419" spans="4:4">
      <c r="D419" s="1" t="str">
        <f t="shared" si="19"/>
        <v/>
      </c>
    </row>
    <row r="420" spans="4:4">
      <c r="D420" s="1" t="str">
        <f t="shared" si="19"/>
        <v/>
      </c>
    </row>
    <row r="421" spans="4:4">
      <c r="D421" s="1" t="str">
        <f t="shared" si="19"/>
        <v/>
      </c>
    </row>
    <row r="422" spans="4:4">
      <c r="D422" s="1" t="str">
        <f t="shared" si="19"/>
        <v/>
      </c>
    </row>
    <row r="423" spans="4:4">
      <c r="D423" s="1" t="str">
        <f t="shared" si="19"/>
        <v/>
      </c>
    </row>
    <row r="424" spans="4:4">
      <c r="D424" s="1" t="str">
        <f t="shared" si="19"/>
        <v/>
      </c>
    </row>
    <row r="425" spans="4:4">
      <c r="D425" s="1" t="str">
        <f t="shared" si="19"/>
        <v/>
      </c>
    </row>
    <row r="426" spans="4:4">
      <c r="D426" s="1" t="str">
        <f t="shared" si="19"/>
        <v/>
      </c>
    </row>
    <row r="427" spans="4:4">
      <c r="D427" s="1" t="str">
        <f t="shared" si="19"/>
        <v/>
      </c>
    </row>
    <row r="428" spans="4:4">
      <c r="D428" s="1" t="str">
        <f t="shared" si="19"/>
        <v/>
      </c>
    </row>
    <row r="429" spans="4:4">
      <c r="D429" s="1" t="str">
        <f t="shared" si="19"/>
        <v/>
      </c>
    </row>
    <row r="430" spans="4:4">
      <c r="D430" s="1" t="str">
        <f t="shared" si="19"/>
        <v/>
      </c>
    </row>
    <row r="431" spans="4:4">
      <c r="D431" s="1" t="str">
        <f t="shared" si="19"/>
        <v/>
      </c>
    </row>
    <row r="432" spans="4:4">
      <c r="D432" s="1" t="str">
        <f t="shared" si="19"/>
        <v/>
      </c>
    </row>
    <row r="433" spans="4:4">
      <c r="D433" s="1" t="str">
        <f t="shared" si="19"/>
        <v/>
      </c>
    </row>
    <row r="434" spans="4:4">
      <c r="D434" s="1" t="str">
        <f t="shared" si="19"/>
        <v/>
      </c>
    </row>
    <row r="435" spans="4:4">
      <c r="D435" s="1" t="str">
        <f t="shared" si="19"/>
        <v/>
      </c>
    </row>
    <row r="436" spans="4:4">
      <c r="D436" s="1" t="str">
        <f t="shared" si="19"/>
        <v/>
      </c>
    </row>
    <row r="437" spans="4:4">
      <c r="D437" s="1" t="str">
        <f t="shared" si="19"/>
        <v/>
      </c>
    </row>
    <row r="438" spans="4:4">
      <c r="D438" s="1" t="str">
        <f t="shared" si="19"/>
        <v/>
      </c>
    </row>
    <row r="439" spans="4:4">
      <c r="D439" s="1" t="str">
        <f t="shared" si="19"/>
        <v/>
      </c>
    </row>
    <row r="440" spans="4:4">
      <c r="D440" s="1" t="str">
        <f t="shared" si="19"/>
        <v/>
      </c>
    </row>
    <row r="441" spans="4:4">
      <c r="D441" s="1" t="str">
        <f t="shared" si="19"/>
        <v/>
      </c>
    </row>
    <row r="442" spans="4:4">
      <c r="D442" s="1" t="str">
        <f t="shared" si="19"/>
        <v/>
      </c>
    </row>
    <row r="443" spans="4:4">
      <c r="D443" s="1" t="str">
        <f t="shared" si="19"/>
        <v/>
      </c>
    </row>
    <row r="444" spans="4:4">
      <c r="D444" s="1" t="str">
        <f t="shared" si="19"/>
        <v/>
      </c>
    </row>
    <row r="445" spans="4:4">
      <c r="D445" s="1" t="str">
        <f t="shared" si="19"/>
        <v/>
      </c>
    </row>
    <row r="446" spans="4:4">
      <c r="D446" s="1" t="str">
        <f t="shared" si="19"/>
        <v/>
      </c>
    </row>
    <row r="447" spans="4:4">
      <c r="D447" s="1" t="str">
        <f t="shared" si="19"/>
        <v/>
      </c>
    </row>
    <row r="448" spans="4:4">
      <c r="D448" s="1" t="str">
        <f t="shared" si="19"/>
        <v/>
      </c>
    </row>
    <row r="449" spans="4:4">
      <c r="D449" s="1" t="str">
        <f t="shared" si="19"/>
        <v/>
      </c>
    </row>
    <row r="450" spans="4:4">
      <c r="D450" s="1" t="str">
        <f t="shared" si="19"/>
        <v/>
      </c>
    </row>
    <row r="451" spans="4:4">
      <c r="D451" s="1" t="str">
        <f t="shared" si="19"/>
        <v/>
      </c>
    </row>
    <row r="452" spans="4:4">
      <c r="D452" s="1" t="str">
        <f t="shared" si="19"/>
        <v/>
      </c>
    </row>
    <row r="453" spans="4:4">
      <c r="D453" s="1" t="str">
        <f t="shared" si="19"/>
        <v/>
      </c>
    </row>
    <row r="454" spans="4:4">
      <c r="D454" s="1" t="str">
        <f t="shared" si="19"/>
        <v/>
      </c>
    </row>
    <row r="455" spans="4:4">
      <c r="D455" s="1" t="str">
        <f t="shared" si="19"/>
        <v/>
      </c>
    </row>
    <row r="456" spans="4:4">
      <c r="D456" s="1" t="str">
        <f t="shared" si="19"/>
        <v/>
      </c>
    </row>
    <row r="457" spans="4:4">
      <c r="D457" s="1" t="str">
        <f t="shared" si="19"/>
        <v/>
      </c>
    </row>
    <row r="458" spans="4:4">
      <c r="D458" s="1" t="str">
        <f t="shared" si="19"/>
        <v/>
      </c>
    </row>
    <row r="459" spans="4:4">
      <c r="D459" s="1" t="str">
        <f t="shared" ref="D459:D522" si="20">IF(F459&lt;&gt;"",RIGHT(F459, LEN(F459) - FIND(" - ", F459) - 2),"")</f>
        <v/>
      </c>
    </row>
    <row r="460" spans="4:4">
      <c r="D460" s="1" t="str">
        <f t="shared" si="20"/>
        <v/>
      </c>
    </row>
    <row r="461" spans="4:4">
      <c r="D461" s="1" t="str">
        <f t="shared" si="20"/>
        <v/>
      </c>
    </row>
    <row r="462" spans="4:4">
      <c r="D462" s="1" t="str">
        <f t="shared" si="20"/>
        <v/>
      </c>
    </row>
    <row r="463" spans="4:4">
      <c r="D463" s="1" t="str">
        <f t="shared" si="20"/>
        <v/>
      </c>
    </row>
    <row r="464" spans="4:4">
      <c r="D464" s="1" t="str">
        <f t="shared" si="20"/>
        <v/>
      </c>
    </row>
    <row r="465" spans="4:4">
      <c r="D465" s="1" t="str">
        <f t="shared" si="20"/>
        <v/>
      </c>
    </row>
    <row r="466" spans="4:4">
      <c r="D466" s="1" t="str">
        <f t="shared" si="20"/>
        <v/>
      </c>
    </row>
    <row r="467" spans="4:4">
      <c r="D467" s="1" t="str">
        <f t="shared" si="20"/>
        <v/>
      </c>
    </row>
    <row r="468" spans="4:4">
      <c r="D468" s="1" t="str">
        <f t="shared" si="20"/>
        <v/>
      </c>
    </row>
    <row r="469" spans="4:4">
      <c r="D469" s="1" t="str">
        <f t="shared" si="20"/>
        <v/>
      </c>
    </row>
    <row r="470" spans="4:4">
      <c r="D470" s="1" t="str">
        <f t="shared" si="20"/>
        <v/>
      </c>
    </row>
    <row r="471" spans="4:4">
      <c r="D471" s="1" t="str">
        <f t="shared" si="20"/>
        <v/>
      </c>
    </row>
    <row r="472" spans="4:4">
      <c r="D472" s="1" t="str">
        <f t="shared" si="20"/>
        <v/>
      </c>
    </row>
    <row r="473" spans="4:4">
      <c r="D473" s="1" t="str">
        <f t="shared" si="20"/>
        <v/>
      </c>
    </row>
    <row r="474" spans="4:4">
      <c r="D474" s="1" t="str">
        <f t="shared" si="20"/>
        <v/>
      </c>
    </row>
    <row r="475" spans="4:4">
      <c r="D475" s="1" t="str">
        <f t="shared" si="20"/>
        <v/>
      </c>
    </row>
    <row r="476" spans="4:4">
      <c r="D476" s="1" t="str">
        <f t="shared" si="20"/>
        <v/>
      </c>
    </row>
    <row r="477" spans="4:4">
      <c r="D477" s="1" t="str">
        <f t="shared" si="20"/>
        <v/>
      </c>
    </row>
    <row r="478" spans="4:4">
      <c r="D478" s="1" t="str">
        <f t="shared" si="20"/>
        <v/>
      </c>
    </row>
    <row r="479" spans="4:4">
      <c r="D479" s="1" t="str">
        <f t="shared" si="20"/>
        <v/>
      </c>
    </row>
    <row r="480" spans="4:4">
      <c r="D480" s="1" t="str">
        <f t="shared" si="20"/>
        <v/>
      </c>
    </row>
    <row r="481" spans="4:4">
      <c r="D481" s="1" t="str">
        <f t="shared" si="20"/>
        <v/>
      </c>
    </row>
    <row r="482" spans="4:4">
      <c r="D482" s="1" t="str">
        <f t="shared" si="20"/>
        <v/>
      </c>
    </row>
    <row r="483" spans="4:4">
      <c r="D483" s="1" t="str">
        <f t="shared" si="20"/>
        <v/>
      </c>
    </row>
    <row r="484" spans="4:4">
      <c r="D484" s="1" t="str">
        <f t="shared" si="20"/>
        <v/>
      </c>
    </row>
    <row r="485" spans="4:4">
      <c r="D485" s="1" t="str">
        <f t="shared" si="20"/>
        <v/>
      </c>
    </row>
    <row r="486" spans="4:4">
      <c r="D486" s="1" t="str">
        <f t="shared" si="20"/>
        <v/>
      </c>
    </row>
    <row r="487" spans="4:4">
      <c r="D487" s="1" t="str">
        <f t="shared" si="20"/>
        <v/>
      </c>
    </row>
    <row r="488" spans="4:4">
      <c r="D488" s="1" t="str">
        <f t="shared" si="20"/>
        <v/>
      </c>
    </row>
    <row r="489" spans="4:4">
      <c r="D489" s="1" t="str">
        <f t="shared" si="20"/>
        <v/>
      </c>
    </row>
    <row r="490" spans="4:4">
      <c r="D490" s="1" t="str">
        <f t="shared" si="20"/>
        <v/>
      </c>
    </row>
    <row r="491" spans="4:4">
      <c r="D491" s="1" t="str">
        <f t="shared" si="20"/>
        <v/>
      </c>
    </row>
    <row r="492" spans="4:4">
      <c r="D492" s="1" t="str">
        <f t="shared" si="20"/>
        <v/>
      </c>
    </row>
    <row r="493" spans="4:4">
      <c r="D493" s="1" t="str">
        <f t="shared" si="20"/>
        <v/>
      </c>
    </row>
    <row r="494" spans="4:4">
      <c r="D494" s="1" t="str">
        <f t="shared" si="20"/>
        <v/>
      </c>
    </row>
    <row r="495" spans="4:4">
      <c r="D495" s="1" t="str">
        <f t="shared" si="20"/>
        <v/>
      </c>
    </row>
    <row r="496" spans="4:4">
      <c r="D496" s="1" t="str">
        <f t="shared" si="20"/>
        <v/>
      </c>
    </row>
    <row r="497" spans="4:4">
      <c r="D497" s="1" t="str">
        <f t="shared" si="20"/>
        <v/>
      </c>
    </row>
    <row r="498" spans="4:4">
      <c r="D498" s="1" t="str">
        <f t="shared" si="20"/>
        <v/>
      </c>
    </row>
    <row r="499" spans="4:4">
      <c r="D499" s="1" t="str">
        <f t="shared" si="20"/>
        <v/>
      </c>
    </row>
    <row r="500" spans="4:4">
      <c r="D500" s="1" t="str">
        <f t="shared" si="20"/>
        <v/>
      </c>
    </row>
    <row r="501" spans="4:4">
      <c r="D501" s="1" t="str">
        <f t="shared" si="20"/>
        <v/>
      </c>
    </row>
    <row r="502" spans="4:4">
      <c r="D502" s="1" t="str">
        <f t="shared" si="20"/>
        <v/>
      </c>
    </row>
    <row r="503" spans="4:4">
      <c r="D503" s="1" t="str">
        <f t="shared" si="20"/>
        <v/>
      </c>
    </row>
    <row r="504" spans="4:4">
      <c r="D504" s="1" t="str">
        <f t="shared" si="20"/>
        <v/>
      </c>
    </row>
    <row r="505" spans="4:4">
      <c r="D505" s="1" t="str">
        <f t="shared" si="20"/>
        <v/>
      </c>
    </row>
    <row r="506" spans="4:4">
      <c r="D506" s="1" t="str">
        <f t="shared" si="20"/>
        <v/>
      </c>
    </row>
    <row r="507" spans="4:4">
      <c r="D507" s="1" t="str">
        <f t="shared" si="20"/>
        <v/>
      </c>
    </row>
    <row r="508" spans="4:4">
      <c r="D508" s="1" t="str">
        <f t="shared" si="20"/>
        <v/>
      </c>
    </row>
    <row r="509" spans="4:4">
      <c r="D509" s="1" t="str">
        <f t="shared" si="20"/>
        <v/>
      </c>
    </row>
    <row r="510" spans="4:4">
      <c r="D510" s="1" t="str">
        <f t="shared" si="20"/>
        <v/>
      </c>
    </row>
    <row r="511" spans="4:4">
      <c r="D511" s="1" t="str">
        <f t="shared" si="20"/>
        <v/>
      </c>
    </row>
    <row r="512" spans="4:4">
      <c r="D512" s="1" t="str">
        <f t="shared" si="20"/>
        <v/>
      </c>
    </row>
    <row r="513" spans="4:4">
      <c r="D513" s="1" t="str">
        <f t="shared" si="20"/>
        <v/>
      </c>
    </row>
    <row r="514" spans="4:4">
      <c r="D514" s="1" t="str">
        <f t="shared" si="20"/>
        <v/>
      </c>
    </row>
    <row r="515" spans="4:4">
      <c r="D515" s="1" t="str">
        <f t="shared" si="20"/>
        <v/>
      </c>
    </row>
    <row r="516" spans="4:4">
      <c r="D516" s="1" t="str">
        <f t="shared" si="20"/>
        <v/>
      </c>
    </row>
    <row r="517" spans="4:4">
      <c r="D517" s="1" t="str">
        <f t="shared" si="20"/>
        <v/>
      </c>
    </row>
    <row r="518" spans="4:4">
      <c r="D518" s="1" t="str">
        <f t="shared" si="20"/>
        <v/>
      </c>
    </row>
    <row r="519" spans="4:4">
      <c r="D519" s="1" t="str">
        <f t="shared" si="20"/>
        <v/>
      </c>
    </row>
    <row r="520" spans="4:4">
      <c r="D520" s="1" t="str">
        <f t="shared" si="20"/>
        <v/>
      </c>
    </row>
    <row r="521" spans="4:4">
      <c r="D521" s="1" t="str">
        <f t="shared" si="20"/>
        <v/>
      </c>
    </row>
    <row r="522" spans="4:4">
      <c r="D522" s="1" t="str">
        <f t="shared" si="20"/>
        <v/>
      </c>
    </row>
    <row r="523" spans="4:4">
      <c r="D523" s="1" t="str">
        <f t="shared" ref="D523:D586" si="21">IF(F523&lt;&gt;"",RIGHT(F523, LEN(F523) - FIND(" - ", F523) - 2),"")</f>
        <v/>
      </c>
    </row>
    <row r="524" spans="4:4">
      <c r="D524" s="1" t="str">
        <f t="shared" si="21"/>
        <v/>
      </c>
    </row>
    <row r="525" spans="4:4">
      <c r="D525" s="1" t="str">
        <f t="shared" si="21"/>
        <v/>
      </c>
    </row>
    <row r="526" spans="4:4">
      <c r="D526" s="1" t="str">
        <f t="shared" si="21"/>
        <v/>
      </c>
    </row>
    <row r="527" spans="4:4">
      <c r="D527" s="1" t="str">
        <f t="shared" si="21"/>
        <v/>
      </c>
    </row>
    <row r="528" spans="4:4">
      <c r="D528" s="1" t="str">
        <f t="shared" si="21"/>
        <v/>
      </c>
    </row>
    <row r="529" spans="4:4">
      <c r="D529" s="1" t="str">
        <f t="shared" si="21"/>
        <v/>
      </c>
    </row>
    <row r="530" spans="4:4">
      <c r="D530" s="1" t="str">
        <f t="shared" si="21"/>
        <v/>
      </c>
    </row>
    <row r="531" spans="4:4">
      <c r="D531" s="1" t="str">
        <f t="shared" si="21"/>
        <v/>
      </c>
    </row>
    <row r="532" spans="4:4">
      <c r="D532" s="1" t="str">
        <f t="shared" si="21"/>
        <v/>
      </c>
    </row>
    <row r="533" spans="4:4">
      <c r="D533" s="1" t="str">
        <f t="shared" si="21"/>
        <v/>
      </c>
    </row>
    <row r="534" spans="4:4">
      <c r="D534" s="1" t="str">
        <f t="shared" si="21"/>
        <v/>
      </c>
    </row>
    <row r="535" spans="4:4">
      <c r="D535" s="1" t="str">
        <f t="shared" si="21"/>
        <v/>
      </c>
    </row>
    <row r="536" spans="4:4">
      <c r="D536" s="1" t="str">
        <f t="shared" si="21"/>
        <v/>
      </c>
    </row>
    <row r="537" spans="4:4">
      <c r="D537" s="1" t="str">
        <f t="shared" si="21"/>
        <v/>
      </c>
    </row>
    <row r="538" spans="4:4">
      <c r="D538" s="1" t="str">
        <f t="shared" si="21"/>
        <v/>
      </c>
    </row>
    <row r="539" spans="4:4">
      <c r="D539" s="1" t="str">
        <f t="shared" si="21"/>
        <v/>
      </c>
    </row>
    <row r="540" spans="4:4">
      <c r="D540" s="1" t="str">
        <f t="shared" si="21"/>
        <v/>
      </c>
    </row>
    <row r="541" spans="4:4">
      <c r="D541" s="1" t="str">
        <f t="shared" si="21"/>
        <v/>
      </c>
    </row>
    <row r="542" spans="4:4">
      <c r="D542" s="1" t="str">
        <f t="shared" si="21"/>
        <v/>
      </c>
    </row>
    <row r="543" spans="4:4">
      <c r="D543" s="1" t="str">
        <f t="shared" si="21"/>
        <v/>
      </c>
    </row>
    <row r="544" spans="4:4">
      <c r="D544" s="1" t="str">
        <f t="shared" si="21"/>
        <v/>
      </c>
    </row>
    <row r="545" spans="4:4">
      <c r="D545" s="1" t="str">
        <f t="shared" si="21"/>
        <v/>
      </c>
    </row>
    <row r="546" spans="4:4">
      <c r="D546" s="1" t="str">
        <f t="shared" si="21"/>
        <v/>
      </c>
    </row>
    <row r="547" spans="4:4">
      <c r="D547" s="1" t="str">
        <f t="shared" si="21"/>
        <v/>
      </c>
    </row>
    <row r="548" spans="4:4">
      <c r="D548" s="1" t="str">
        <f t="shared" si="21"/>
        <v/>
      </c>
    </row>
    <row r="549" spans="4:4">
      <c r="D549" s="1" t="str">
        <f t="shared" si="21"/>
        <v/>
      </c>
    </row>
    <row r="550" spans="4:4">
      <c r="D550" s="1" t="str">
        <f t="shared" si="21"/>
        <v/>
      </c>
    </row>
    <row r="551" spans="4:4">
      <c r="D551" s="1" t="str">
        <f t="shared" si="21"/>
        <v/>
      </c>
    </row>
    <row r="552" spans="4:4">
      <c r="D552" s="1" t="str">
        <f t="shared" si="21"/>
        <v/>
      </c>
    </row>
    <row r="553" spans="4:4">
      <c r="D553" s="1" t="str">
        <f t="shared" si="21"/>
        <v/>
      </c>
    </row>
    <row r="554" spans="4:4">
      <c r="D554" s="1" t="str">
        <f t="shared" si="21"/>
        <v/>
      </c>
    </row>
    <row r="555" spans="4:4">
      <c r="D555" s="1" t="str">
        <f t="shared" si="21"/>
        <v/>
      </c>
    </row>
    <row r="556" spans="4:4">
      <c r="D556" s="1" t="str">
        <f t="shared" si="21"/>
        <v/>
      </c>
    </row>
    <row r="557" spans="4:4">
      <c r="D557" s="1" t="str">
        <f t="shared" si="21"/>
        <v/>
      </c>
    </row>
    <row r="558" spans="4:4">
      <c r="D558" s="1" t="str">
        <f t="shared" si="21"/>
        <v/>
      </c>
    </row>
    <row r="559" spans="4:4">
      <c r="D559" s="1" t="str">
        <f t="shared" si="21"/>
        <v/>
      </c>
    </row>
    <row r="560" spans="4:4">
      <c r="D560" s="1" t="str">
        <f t="shared" si="21"/>
        <v/>
      </c>
    </row>
    <row r="561" spans="4:4">
      <c r="D561" s="1" t="str">
        <f t="shared" si="21"/>
        <v/>
      </c>
    </row>
    <row r="562" spans="4:4">
      <c r="D562" s="1" t="str">
        <f t="shared" si="21"/>
        <v/>
      </c>
    </row>
    <row r="563" spans="4:4">
      <c r="D563" s="1" t="str">
        <f t="shared" si="21"/>
        <v/>
      </c>
    </row>
    <row r="564" spans="4:4">
      <c r="D564" s="1" t="str">
        <f t="shared" si="21"/>
        <v/>
      </c>
    </row>
    <row r="565" spans="4:4">
      <c r="D565" s="1" t="str">
        <f t="shared" si="21"/>
        <v/>
      </c>
    </row>
    <row r="566" spans="4:4">
      <c r="D566" s="1" t="str">
        <f t="shared" si="21"/>
        <v/>
      </c>
    </row>
    <row r="567" spans="4:4">
      <c r="D567" s="1" t="str">
        <f t="shared" si="21"/>
        <v/>
      </c>
    </row>
    <row r="568" spans="4:4">
      <c r="D568" s="1" t="str">
        <f t="shared" si="21"/>
        <v/>
      </c>
    </row>
    <row r="569" spans="4:4">
      <c r="D569" s="1" t="str">
        <f t="shared" si="21"/>
        <v/>
      </c>
    </row>
    <row r="570" spans="4:4">
      <c r="D570" s="1" t="str">
        <f t="shared" si="21"/>
        <v/>
      </c>
    </row>
    <row r="571" spans="4:4">
      <c r="D571" s="1" t="str">
        <f t="shared" si="21"/>
        <v/>
      </c>
    </row>
    <row r="572" spans="4:4">
      <c r="D572" s="1" t="str">
        <f t="shared" si="21"/>
        <v/>
      </c>
    </row>
    <row r="573" spans="4:4">
      <c r="D573" s="1" t="str">
        <f t="shared" si="21"/>
        <v/>
      </c>
    </row>
    <row r="574" spans="4:4">
      <c r="D574" s="1" t="str">
        <f t="shared" si="21"/>
        <v/>
      </c>
    </row>
    <row r="575" spans="4:4">
      <c r="D575" s="1" t="str">
        <f t="shared" si="21"/>
        <v/>
      </c>
    </row>
    <row r="576" spans="4:4">
      <c r="D576" s="1" t="str">
        <f t="shared" si="21"/>
        <v/>
      </c>
    </row>
    <row r="577" spans="4:4">
      <c r="D577" s="1" t="str">
        <f t="shared" si="21"/>
        <v/>
      </c>
    </row>
    <row r="578" spans="4:4">
      <c r="D578" s="1" t="str">
        <f t="shared" si="21"/>
        <v/>
      </c>
    </row>
    <row r="579" spans="4:4">
      <c r="D579" s="1" t="str">
        <f t="shared" si="21"/>
        <v/>
      </c>
    </row>
    <row r="580" spans="4:4">
      <c r="D580" s="1" t="str">
        <f t="shared" si="21"/>
        <v/>
      </c>
    </row>
    <row r="581" spans="4:4">
      <c r="D581" s="1" t="str">
        <f t="shared" si="21"/>
        <v/>
      </c>
    </row>
    <row r="582" spans="4:4">
      <c r="D582" s="1" t="str">
        <f t="shared" si="21"/>
        <v/>
      </c>
    </row>
    <row r="583" spans="4:4">
      <c r="D583" s="1" t="str">
        <f t="shared" si="21"/>
        <v/>
      </c>
    </row>
    <row r="584" spans="4:4">
      <c r="D584" s="1" t="str">
        <f t="shared" si="21"/>
        <v/>
      </c>
    </row>
    <row r="585" spans="4:4">
      <c r="D585" s="1" t="str">
        <f t="shared" si="21"/>
        <v/>
      </c>
    </row>
    <row r="586" spans="4:4">
      <c r="D586" s="1" t="str">
        <f t="shared" si="21"/>
        <v/>
      </c>
    </row>
    <row r="587" spans="4:4">
      <c r="D587" s="1" t="str">
        <f t="shared" ref="D587:D650" si="22">IF(F587&lt;&gt;"",RIGHT(F587, LEN(F587) - FIND(" - ", F587) - 2),"")</f>
        <v/>
      </c>
    </row>
    <row r="588" spans="4:4">
      <c r="D588" s="1" t="str">
        <f t="shared" si="22"/>
        <v/>
      </c>
    </row>
    <row r="589" spans="4:4">
      <c r="D589" s="1" t="str">
        <f t="shared" si="22"/>
        <v/>
      </c>
    </row>
    <row r="590" spans="4:4">
      <c r="D590" s="1" t="str">
        <f t="shared" si="22"/>
        <v/>
      </c>
    </row>
    <row r="591" spans="4:4">
      <c r="D591" s="1" t="str">
        <f t="shared" si="22"/>
        <v/>
      </c>
    </row>
    <row r="592" spans="4:4">
      <c r="D592" s="1" t="str">
        <f t="shared" si="22"/>
        <v/>
      </c>
    </row>
    <row r="593" spans="4:4">
      <c r="D593" s="1" t="str">
        <f t="shared" si="22"/>
        <v/>
      </c>
    </row>
    <row r="594" spans="4:4">
      <c r="D594" s="1" t="str">
        <f t="shared" si="22"/>
        <v/>
      </c>
    </row>
    <row r="595" spans="4:4">
      <c r="D595" s="1" t="str">
        <f t="shared" si="22"/>
        <v/>
      </c>
    </row>
    <row r="596" spans="4:4">
      <c r="D596" s="1" t="str">
        <f t="shared" si="22"/>
        <v/>
      </c>
    </row>
    <row r="597" spans="4:4">
      <c r="D597" s="1" t="str">
        <f t="shared" si="22"/>
        <v/>
      </c>
    </row>
    <row r="598" spans="4:4">
      <c r="D598" s="1" t="str">
        <f t="shared" si="22"/>
        <v/>
      </c>
    </row>
    <row r="599" spans="4:4">
      <c r="D599" s="1" t="str">
        <f t="shared" si="22"/>
        <v/>
      </c>
    </row>
    <row r="600" spans="4:4">
      <c r="D600" s="1" t="str">
        <f t="shared" si="22"/>
        <v/>
      </c>
    </row>
    <row r="601" spans="4:4">
      <c r="D601" s="1" t="str">
        <f t="shared" si="22"/>
        <v/>
      </c>
    </row>
    <row r="602" spans="4:4">
      <c r="D602" s="1" t="str">
        <f t="shared" si="22"/>
        <v/>
      </c>
    </row>
    <row r="603" spans="4:4">
      <c r="D603" s="1" t="str">
        <f t="shared" si="22"/>
        <v/>
      </c>
    </row>
    <row r="604" spans="4:4">
      <c r="D604" s="1" t="str">
        <f t="shared" si="22"/>
        <v/>
      </c>
    </row>
    <row r="605" spans="4:4">
      <c r="D605" s="1" t="str">
        <f t="shared" si="22"/>
        <v/>
      </c>
    </row>
    <row r="606" spans="4:4">
      <c r="D606" s="1" t="str">
        <f t="shared" si="22"/>
        <v/>
      </c>
    </row>
    <row r="607" spans="4:4">
      <c r="D607" s="1" t="str">
        <f t="shared" si="22"/>
        <v/>
      </c>
    </row>
    <row r="608" spans="4:4">
      <c r="D608" s="1" t="str">
        <f t="shared" si="22"/>
        <v/>
      </c>
    </row>
    <row r="609" spans="4:4">
      <c r="D609" s="1" t="str">
        <f t="shared" si="22"/>
        <v/>
      </c>
    </row>
    <row r="610" spans="4:4">
      <c r="D610" s="1" t="str">
        <f t="shared" si="22"/>
        <v/>
      </c>
    </row>
    <row r="611" spans="4:4">
      <c r="D611" s="1" t="str">
        <f t="shared" si="22"/>
        <v/>
      </c>
    </row>
    <row r="612" spans="4:4">
      <c r="D612" s="1" t="str">
        <f t="shared" si="22"/>
        <v/>
      </c>
    </row>
    <row r="613" spans="4:4">
      <c r="D613" s="1" t="str">
        <f t="shared" si="22"/>
        <v/>
      </c>
    </row>
    <row r="614" spans="4:4">
      <c r="D614" s="1" t="str">
        <f t="shared" si="22"/>
        <v/>
      </c>
    </row>
    <row r="615" spans="4:4">
      <c r="D615" s="1" t="str">
        <f t="shared" si="22"/>
        <v/>
      </c>
    </row>
    <row r="616" spans="4:4">
      <c r="D616" s="1" t="str">
        <f t="shared" si="22"/>
        <v/>
      </c>
    </row>
    <row r="617" spans="4:4">
      <c r="D617" s="1" t="str">
        <f t="shared" si="22"/>
        <v/>
      </c>
    </row>
    <row r="618" spans="4:4">
      <c r="D618" s="1" t="str">
        <f t="shared" si="22"/>
        <v/>
      </c>
    </row>
    <row r="619" spans="4:4">
      <c r="D619" s="1" t="str">
        <f t="shared" si="22"/>
        <v/>
      </c>
    </row>
    <row r="620" spans="4:4">
      <c r="D620" s="1" t="str">
        <f t="shared" si="22"/>
        <v/>
      </c>
    </row>
    <row r="621" spans="4:4">
      <c r="D621" s="1" t="str">
        <f t="shared" si="22"/>
        <v/>
      </c>
    </row>
    <row r="622" spans="4:4">
      <c r="D622" s="1" t="str">
        <f t="shared" si="22"/>
        <v/>
      </c>
    </row>
    <row r="623" spans="4:4">
      <c r="D623" s="1" t="str">
        <f t="shared" si="22"/>
        <v/>
      </c>
    </row>
    <row r="624" spans="4:4">
      <c r="D624" s="1" t="str">
        <f t="shared" si="22"/>
        <v/>
      </c>
    </row>
    <row r="625" spans="4:4">
      <c r="D625" s="1" t="str">
        <f t="shared" si="22"/>
        <v/>
      </c>
    </row>
    <row r="626" spans="4:4">
      <c r="D626" s="1" t="str">
        <f t="shared" si="22"/>
        <v/>
      </c>
    </row>
    <row r="627" spans="4:4">
      <c r="D627" s="1" t="str">
        <f t="shared" si="22"/>
        <v/>
      </c>
    </row>
    <row r="628" spans="4:4">
      <c r="D628" s="1" t="str">
        <f t="shared" si="22"/>
        <v/>
      </c>
    </row>
    <row r="629" spans="4:4">
      <c r="D629" s="1" t="str">
        <f t="shared" si="22"/>
        <v/>
      </c>
    </row>
    <row r="630" spans="4:4">
      <c r="D630" s="1" t="str">
        <f t="shared" si="22"/>
        <v/>
      </c>
    </row>
    <row r="631" spans="4:4">
      <c r="D631" s="1" t="str">
        <f t="shared" si="22"/>
        <v/>
      </c>
    </row>
    <row r="632" spans="4:4">
      <c r="D632" s="1" t="str">
        <f t="shared" si="22"/>
        <v/>
      </c>
    </row>
    <row r="633" spans="4:4">
      <c r="D633" s="1" t="str">
        <f t="shared" si="22"/>
        <v/>
      </c>
    </row>
    <row r="634" spans="4:4">
      <c r="D634" s="1" t="str">
        <f t="shared" si="22"/>
        <v/>
      </c>
    </row>
    <row r="635" spans="4:4">
      <c r="D635" s="1" t="str">
        <f t="shared" si="22"/>
        <v/>
      </c>
    </row>
    <row r="636" spans="4:4">
      <c r="D636" s="1" t="str">
        <f t="shared" si="22"/>
        <v/>
      </c>
    </row>
    <row r="637" spans="4:4">
      <c r="D637" s="1" t="str">
        <f t="shared" si="22"/>
        <v/>
      </c>
    </row>
    <row r="638" spans="4:4">
      <c r="D638" s="1" t="str">
        <f t="shared" si="22"/>
        <v/>
      </c>
    </row>
    <row r="639" spans="4:4">
      <c r="D639" s="1" t="str">
        <f t="shared" si="22"/>
        <v/>
      </c>
    </row>
    <row r="640" spans="4:4">
      <c r="D640" s="1" t="str">
        <f t="shared" si="22"/>
        <v/>
      </c>
    </row>
    <row r="641" spans="4:4">
      <c r="D641" s="1" t="str">
        <f t="shared" si="22"/>
        <v/>
      </c>
    </row>
    <row r="642" spans="4:4">
      <c r="D642" s="1" t="str">
        <f t="shared" si="22"/>
        <v/>
      </c>
    </row>
    <row r="643" spans="4:4">
      <c r="D643" s="1" t="str">
        <f t="shared" si="22"/>
        <v/>
      </c>
    </row>
    <row r="644" spans="4:4">
      <c r="D644" s="1" t="str">
        <f t="shared" si="22"/>
        <v/>
      </c>
    </row>
    <row r="645" spans="4:4">
      <c r="D645" s="1" t="str">
        <f t="shared" si="22"/>
        <v/>
      </c>
    </row>
    <row r="646" spans="4:4">
      <c r="D646" s="1" t="str">
        <f t="shared" si="22"/>
        <v/>
      </c>
    </row>
    <row r="647" spans="4:4">
      <c r="D647" s="1" t="str">
        <f t="shared" si="22"/>
        <v/>
      </c>
    </row>
    <row r="648" spans="4:4">
      <c r="D648" s="1" t="str">
        <f t="shared" si="22"/>
        <v/>
      </c>
    </row>
    <row r="649" spans="4:4">
      <c r="D649" s="1" t="str">
        <f t="shared" si="22"/>
        <v/>
      </c>
    </row>
    <row r="650" spans="4:4">
      <c r="D650" s="1" t="str">
        <f t="shared" si="22"/>
        <v/>
      </c>
    </row>
    <row r="651" spans="4:4">
      <c r="D651" s="1" t="str">
        <f t="shared" ref="D651:D714" si="23">IF(F651&lt;&gt;"",RIGHT(F651, LEN(F651) - FIND(" - ", F651) - 2),"")</f>
        <v/>
      </c>
    </row>
    <row r="652" spans="4:4">
      <c r="D652" s="1" t="str">
        <f t="shared" si="23"/>
        <v/>
      </c>
    </row>
    <row r="653" spans="4:4">
      <c r="D653" s="1" t="str">
        <f t="shared" si="23"/>
        <v/>
      </c>
    </row>
    <row r="654" spans="4:4">
      <c r="D654" s="1" t="str">
        <f t="shared" si="23"/>
        <v/>
      </c>
    </row>
    <row r="655" spans="4:4">
      <c r="D655" s="1" t="str">
        <f t="shared" si="23"/>
        <v/>
      </c>
    </row>
    <row r="656" spans="4:4">
      <c r="D656" s="1" t="str">
        <f t="shared" si="23"/>
        <v/>
      </c>
    </row>
    <row r="657" spans="4:4">
      <c r="D657" s="1" t="str">
        <f t="shared" si="23"/>
        <v/>
      </c>
    </row>
    <row r="658" spans="4:4">
      <c r="D658" s="1" t="str">
        <f t="shared" si="23"/>
        <v/>
      </c>
    </row>
    <row r="659" spans="4:4">
      <c r="D659" s="1" t="str">
        <f t="shared" si="23"/>
        <v/>
      </c>
    </row>
    <row r="660" spans="4:4">
      <c r="D660" s="1" t="str">
        <f t="shared" si="23"/>
        <v/>
      </c>
    </row>
    <row r="661" spans="4:4">
      <c r="D661" s="1" t="str">
        <f t="shared" si="23"/>
        <v/>
      </c>
    </row>
    <row r="662" spans="4:4">
      <c r="D662" s="1" t="str">
        <f t="shared" si="23"/>
        <v/>
      </c>
    </row>
    <row r="663" spans="4:4">
      <c r="D663" s="1" t="str">
        <f t="shared" si="23"/>
        <v/>
      </c>
    </row>
    <row r="664" spans="4:4">
      <c r="D664" s="1" t="str">
        <f t="shared" si="23"/>
        <v/>
      </c>
    </row>
    <row r="665" spans="4:4">
      <c r="D665" s="1" t="str">
        <f t="shared" si="23"/>
        <v/>
      </c>
    </row>
    <row r="666" spans="4:4">
      <c r="D666" s="1" t="str">
        <f t="shared" si="23"/>
        <v/>
      </c>
    </row>
    <row r="667" spans="4:4">
      <c r="D667" s="1" t="str">
        <f t="shared" si="23"/>
        <v/>
      </c>
    </row>
    <row r="668" spans="4:4">
      <c r="D668" s="1" t="str">
        <f t="shared" si="23"/>
        <v/>
      </c>
    </row>
    <row r="669" spans="4:4">
      <c r="D669" s="1" t="str">
        <f t="shared" si="23"/>
        <v/>
      </c>
    </row>
    <row r="670" spans="4:4">
      <c r="D670" s="1" t="str">
        <f t="shared" si="23"/>
        <v/>
      </c>
    </row>
    <row r="671" spans="4:4">
      <c r="D671" s="1" t="str">
        <f t="shared" si="23"/>
        <v/>
      </c>
    </row>
    <row r="672" spans="4:4">
      <c r="D672" s="1" t="str">
        <f t="shared" si="23"/>
        <v/>
      </c>
    </row>
    <row r="673" spans="4:4">
      <c r="D673" s="1" t="str">
        <f t="shared" si="23"/>
        <v/>
      </c>
    </row>
    <row r="674" spans="4:4">
      <c r="D674" s="1" t="str">
        <f t="shared" si="23"/>
        <v/>
      </c>
    </row>
    <row r="675" spans="4:4">
      <c r="D675" s="1" t="str">
        <f t="shared" si="23"/>
        <v/>
      </c>
    </row>
    <row r="676" spans="4:4">
      <c r="D676" s="1" t="str">
        <f t="shared" si="23"/>
        <v/>
      </c>
    </row>
    <row r="677" spans="4:4">
      <c r="D677" s="1" t="str">
        <f t="shared" si="23"/>
        <v/>
      </c>
    </row>
    <row r="678" spans="4:4">
      <c r="D678" s="1" t="str">
        <f t="shared" si="23"/>
        <v/>
      </c>
    </row>
    <row r="679" spans="4:4">
      <c r="D679" s="1" t="str">
        <f t="shared" si="23"/>
        <v/>
      </c>
    </row>
    <row r="680" spans="4:4">
      <c r="D680" s="1" t="str">
        <f t="shared" si="23"/>
        <v/>
      </c>
    </row>
    <row r="681" spans="4:4">
      <c r="D681" s="1" t="str">
        <f t="shared" si="23"/>
        <v/>
      </c>
    </row>
    <row r="682" spans="4:4">
      <c r="D682" s="1" t="str">
        <f t="shared" si="23"/>
        <v/>
      </c>
    </row>
    <row r="683" spans="4:4">
      <c r="D683" s="1" t="str">
        <f t="shared" si="23"/>
        <v/>
      </c>
    </row>
    <row r="684" spans="4:4">
      <c r="D684" s="1" t="str">
        <f t="shared" si="23"/>
        <v/>
      </c>
    </row>
    <row r="685" spans="4:4">
      <c r="D685" s="1" t="str">
        <f t="shared" si="23"/>
        <v/>
      </c>
    </row>
    <row r="686" spans="4:4">
      <c r="D686" s="1" t="str">
        <f t="shared" si="23"/>
        <v/>
      </c>
    </row>
    <row r="687" spans="4:4">
      <c r="D687" s="1" t="str">
        <f t="shared" si="23"/>
        <v/>
      </c>
    </row>
    <row r="688" spans="4:4">
      <c r="D688" s="1" t="str">
        <f t="shared" si="23"/>
        <v/>
      </c>
    </row>
    <row r="689" spans="4:4">
      <c r="D689" s="1" t="str">
        <f t="shared" si="23"/>
        <v/>
      </c>
    </row>
    <row r="690" spans="4:4">
      <c r="D690" s="1" t="str">
        <f t="shared" si="23"/>
        <v/>
      </c>
    </row>
    <row r="691" spans="4:4">
      <c r="D691" s="1" t="str">
        <f t="shared" si="23"/>
        <v/>
      </c>
    </row>
    <row r="692" spans="4:4">
      <c r="D692" s="1" t="str">
        <f t="shared" si="23"/>
        <v/>
      </c>
    </row>
    <row r="693" spans="4:4">
      <c r="D693" s="1" t="str">
        <f t="shared" si="23"/>
        <v/>
      </c>
    </row>
    <row r="694" spans="4:4">
      <c r="D694" s="1" t="str">
        <f t="shared" si="23"/>
        <v/>
      </c>
    </row>
    <row r="695" spans="4:4">
      <c r="D695" s="1" t="str">
        <f t="shared" si="23"/>
        <v/>
      </c>
    </row>
    <row r="696" spans="4:4">
      <c r="D696" s="1" t="str">
        <f t="shared" si="23"/>
        <v/>
      </c>
    </row>
    <row r="697" spans="4:4">
      <c r="D697" s="1" t="str">
        <f t="shared" si="23"/>
        <v/>
      </c>
    </row>
    <row r="698" spans="4:4">
      <c r="D698" s="1" t="str">
        <f t="shared" si="23"/>
        <v/>
      </c>
    </row>
    <row r="699" spans="4:4">
      <c r="D699" s="1" t="str">
        <f t="shared" si="23"/>
        <v/>
      </c>
    </row>
    <row r="700" spans="4:4">
      <c r="D700" s="1" t="str">
        <f t="shared" si="23"/>
        <v/>
      </c>
    </row>
    <row r="701" spans="4:4">
      <c r="D701" s="1" t="str">
        <f t="shared" si="23"/>
        <v/>
      </c>
    </row>
    <row r="702" spans="4:4">
      <c r="D702" s="1" t="str">
        <f t="shared" si="23"/>
        <v/>
      </c>
    </row>
    <row r="703" spans="4:4">
      <c r="D703" s="1" t="str">
        <f t="shared" si="23"/>
        <v/>
      </c>
    </row>
    <row r="704" spans="4:4">
      <c r="D704" s="1" t="str">
        <f t="shared" si="23"/>
        <v/>
      </c>
    </row>
    <row r="705" spans="4:4">
      <c r="D705" s="1" t="str">
        <f t="shared" si="23"/>
        <v/>
      </c>
    </row>
    <row r="706" spans="4:4">
      <c r="D706" s="1" t="str">
        <f t="shared" si="23"/>
        <v/>
      </c>
    </row>
    <row r="707" spans="4:4">
      <c r="D707" s="1" t="str">
        <f t="shared" si="23"/>
        <v/>
      </c>
    </row>
    <row r="708" spans="4:4">
      <c r="D708" s="1" t="str">
        <f t="shared" si="23"/>
        <v/>
      </c>
    </row>
    <row r="709" spans="4:4">
      <c r="D709" s="1" t="str">
        <f t="shared" si="23"/>
        <v/>
      </c>
    </row>
    <row r="710" spans="4:4">
      <c r="D710" s="1" t="str">
        <f t="shared" si="23"/>
        <v/>
      </c>
    </row>
    <row r="711" spans="4:4">
      <c r="D711" s="1" t="str">
        <f t="shared" si="23"/>
        <v/>
      </c>
    </row>
    <row r="712" spans="4:4">
      <c r="D712" s="1" t="str">
        <f t="shared" si="23"/>
        <v/>
      </c>
    </row>
    <row r="713" spans="4:4">
      <c r="D713" s="1" t="str">
        <f t="shared" si="23"/>
        <v/>
      </c>
    </row>
    <row r="714" spans="4:4">
      <c r="D714" s="1" t="str">
        <f t="shared" si="23"/>
        <v/>
      </c>
    </row>
    <row r="715" spans="4:4">
      <c r="D715" s="1" t="str">
        <f t="shared" ref="D715:D778" si="24">IF(F715&lt;&gt;"",RIGHT(F715, LEN(F715) - FIND(" - ", F715) - 2),"")</f>
        <v/>
      </c>
    </row>
    <row r="716" spans="4:4">
      <c r="D716" s="1" t="str">
        <f t="shared" si="24"/>
        <v/>
      </c>
    </row>
    <row r="717" spans="4:4">
      <c r="D717" s="1" t="str">
        <f t="shared" si="24"/>
        <v/>
      </c>
    </row>
    <row r="718" spans="4:4">
      <c r="D718" s="1" t="str">
        <f t="shared" si="24"/>
        <v/>
      </c>
    </row>
    <row r="719" spans="4:4">
      <c r="D719" s="1" t="str">
        <f t="shared" si="24"/>
        <v/>
      </c>
    </row>
    <row r="720" spans="4:4">
      <c r="D720" s="1" t="str">
        <f t="shared" si="24"/>
        <v/>
      </c>
    </row>
    <row r="721" spans="4:4">
      <c r="D721" s="1" t="str">
        <f t="shared" si="24"/>
        <v/>
      </c>
    </row>
    <row r="722" spans="4:4">
      <c r="D722" s="1" t="str">
        <f t="shared" si="24"/>
        <v/>
      </c>
    </row>
    <row r="723" spans="4:4">
      <c r="D723" s="1" t="str">
        <f t="shared" si="24"/>
        <v/>
      </c>
    </row>
    <row r="724" spans="4:4">
      <c r="D724" s="1" t="str">
        <f t="shared" si="24"/>
        <v/>
      </c>
    </row>
    <row r="725" spans="4:4">
      <c r="D725" s="1" t="str">
        <f t="shared" si="24"/>
        <v/>
      </c>
    </row>
    <row r="726" spans="4:4">
      <c r="D726" s="1" t="str">
        <f t="shared" si="24"/>
        <v/>
      </c>
    </row>
    <row r="727" spans="4:4">
      <c r="D727" s="1" t="str">
        <f t="shared" si="24"/>
        <v/>
      </c>
    </row>
    <row r="728" spans="4:4">
      <c r="D728" s="1" t="str">
        <f t="shared" si="24"/>
        <v/>
      </c>
    </row>
    <row r="729" spans="4:4">
      <c r="D729" s="1" t="str">
        <f t="shared" si="24"/>
        <v/>
      </c>
    </row>
    <row r="730" spans="4:4">
      <c r="D730" s="1" t="str">
        <f t="shared" si="24"/>
        <v/>
      </c>
    </row>
    <row r="731" spans="4:4">
      <c r="D731" s="1" t="str">
        <f t="shared" si="24"/>
        <v/>
      </c>
    </row>
    <row r="732" spans="4:4">
      <c r="D732" s="1" t="str">
        <f t="shared" si="24"/>
        <v/>
      </c>
    </row>
    <row r="733" spans="4:4">
      <c r="D733" s="1" t="str">
        <f t="shared" si="24"/>
        <v/>
      </c>
    </row>
    <row r="734" spans="4:4">
      <c r="D734" s="1" t="str">
        <f t="shared" si="24"/>
        <v/>
      </c>
    </row>
    <row r="735" spans="4:4">
      <c r="D735" s="1" t="str">
        <f t="shared" si="24"/>
        <v/>
      </c>
    </row>
    <row r="736" spans="4:4">
      <c r="D736" s="1" t="str">
        <f t="shared" si="24"/>
        <v/>
      </c>
    </row>
    <row r="737" spans="4:4">
      <c r="D737" s="1" t="str">
        <f t="shared" si="24"/>
        <v/>
      </c>
    </row>
    <row r="738" spans="4:4">
      <c r="D738" s="1" t="str">
        <f t="shared" si="24"/>
        <v/>
      </c>
    </row>
    <row r="739" spans="4:4">
      <c r="D739" s="1" t="str">
        <f t="shared" si="24"/>
        <v/>
      </c>
    </row>
    <row r="740" spans="4:4">
      <c r="D740" s="1" t="str">
        <f t="shared" si="24"/>
        <v/>
      </c>
    </row>
    <row r="741" spans="4:4">
      <c r="D741" s="1" t="str">
        <f t="shared" si="24"/>
        <v/>
      </c>
    </row>
    <row r="742" spans="4:4">
      <c r="D742" s="1" t="str">
        <f t="shared" si="24"/>
        <v/>
      </c>
    </row>
    <row r="743" spans="4:4">
      <c r="D743" s="1" t="str">
        <f t="shared" si="24"/>
        <v/>
      </c>
    </row>
    <row r="744" spans="4:4">
      <c r="D744" s="1" t="str">
        <f t="shared" si="24"/>
        <v/>
      </c>
    </row>
    <row r="745" spans="4:4">
      <c r="D745" s="1" t="str">
        <f t="shared" si="24"/>
        <v/>
      </c>
    </row>
    <row r="746" spans="4:4">
      <c r="D746" s="1" t="str">
        <f t="shared" si="24"/>
        <v/>
      </c>
    </row>
    <row r="747" spans="4:4">
      <c r="D747" s="1" t="str">
        <f t="shared" si="24"/>
        <v/>
      </c>
    </row>
    <row r="748" spans="4:4">
      <c r="D748" s="1" t="str">
        <f t="shared" si="24"/>
        <v/>
      </c>
    </row>
    <row r="749" spans="4:4">
      <c r="D749" s="1" t="str">
        <f t="shared" si="24"/>
        <v/>
      </c>
    </row>
    <row r="750" spans="4:4">
      <c r="D750" s="1" t="str">
        <f t="shared" si="24"/>
        <v/>
      </c>
    </row>
    <row r="751" spans="4:4">
      <c r="D751" s="1" t="str">
        <f t="shared" si="24"/>
        <v/>
      </c>
    </row>
    <row r="752" spans="4:4">
      <c r="D752" s="1" t="str">
        <f t="shared" si="24"/>
        <v/>
      </c>
    </row>
    <row r="753" spans="4:4">
      <c r="D753" s="1" t="str">
        <f t="shared" si="24"/>
        <v/>
      </c>
    </row>
    <row r="754" spans="4:4">
      <c r="D754" s="1" t="str">
        <f t="shared" si="24"/>
        <v/>
      </c>
    </row>
    <row r="755" spans="4:4">
      <c r="D755" s="1" t="str">
        <f t="shared" si="24"/>
        <v/>
      </c>
    </row>
    <row r="756" spans="4:4">
      <c r="D756" s="1" t="str">
        <f t="shared" si="24"/>
        <v/>
      </c>
    </row>
    <row r="757" spans="4:4">
      <c r="D757" s="1" t="str">
        <f t="shared" si="24"/>
        <v/>
      </c>
    </row>
    <row r="758" spans="4:4">
      <c r="D758" s="1" t="str">
        <f t="shared" si="24"/>
        <v/>
      </c>
    </row>
    <row r="759" spans="4:4">
      <c r="D759" s="1" t="str">
        <f t="shared" si="24"/>
        <v/>
      </c>
    </row>
    <row r="760" spans="4:4">
      <c r="D760" s="1" t="str">
        <f t="shared" si="24"/>
        <v/>
      </c>
    </row>
    <row r="761" spans="4:4">
      <c r="D761" s="1" t="str">
        <f t="shared" si="24"/>
        <v/>
      </c>
    </row>
    <row r="762" spans="4:4">
      <c r="D762" s="1" t="str">
        <f t="shared" si="24"/>
        <v/>
      </c>
    </row>
    <row r="763" spans="4:4">
      <c r="D763" s="1" t="str">
        <f t="shared" si="24"/>
        <v/>
      </c>
    </row>
    <row r="764" spans="4:4">
      <c r="D764" s="1" t="str">
        <f t="shared" si="24"/>
        <v/>
      </c>
    </row>
    <row r="765" spans="4:4">
      <c r="D765" s="1" t="str">
        <f t="shared" si="24"/>
        <v/>
      </c>
    </row>
    <row r="766" spans="4:4">
      <c r="D766" s="1" t="str">
        <f t="shared" si="24"/>
        <v/>
      </c>
    </row>
    <row r="767" spans="4:4">
      <c r="D767" s="1" t="str">
        <f t="shared" si="24"/>
        <v/>
      </c>
    </row>
    <row r="768" spans="4:4">
      <c r="D768" s="1" t="str">
        <f t="shared" si="24"/>
        <v/>
      </c>
    </row>
    <row r="769" spans="4:4">
      <c r="D769" s="1" t="str">
        <f t="shared" si="24"/>
        <v/>
      </c>
    </row>
    <row r="770" spans="4:4">
      <c r="D770" s="1" t="str">
        <f t="shared" si="24"/>
        <v/>
      </c>
    </row>
    <row r="771" spans="4:4">
      <c r="D771" s="1" t="str">
        <f t="shared" si="24"/>
        <v/>
      </c>
    </row>
    <row r="772" spans="4:4">
      <c r="D772" s="1" t="str">
        <f t="shared" si="24"/>
        <v/>
      </c>
    </row>
    <row r="773" spans="4:4">
      <c r="D773" s="1" t="str">
        <f t="shared" si="24"/>
        <v/>
      </c>
    </row>
    <row r="774" spans="4:4">
      <c r="D774" s="1" t="str">
        <f t="shared" si="24"/>
        <v/>
      </c>
    </row>
    <row r="775" spans="4:4">
      <c r="D775" s="1" t="str">
        <f t="shared" si="24"/>
        <v/>
      </c>
    </row>
    <row r="776" spans="4:4">
      <c r="D776" s="1" t="str">
        <f t="shared" si="24"/>
        <v/>
      </c>
    </row>
    <row r="777" spans="4:4">
      <c r="D777" s="1" t="str">
        <f t="shared" si="24"/>
        <v/>
      </c>
    </row>
    <row r="778" spans="4:4">
      <c r="D778" s="1" t="str">
        <f t="shared" si="24"/>
        <v/>
      </c>
    </row>
    <row r="779" spans="4:4">
      <c r="D779" s="1" t="str">
        <f t="shared" ref="D779:D842" si="25">IF(F779&lt;&gt;"",RIGHT(F779, LEN(F779) - FIND(" - ", F779) - 2),"")</f>
        <v/>
      </c>
    </row>
    <row r="780" spans="4:4">
      <c r="D780" s="1" t="str">
        <f t="shared" si="25"/>
        <v/>
      </c>
    </row>
    <row r="781" spans="4:4">
      <c r="D781" s="1" t="str">
        <f t="shared" si="25"/>
        <v/>
      </c>
    </row>
    <row r="782" spans="4:4">
      <c r="D782" s="1" t="str">
        <f t="shared" si="25"/>
        <v/>
      </c>
    </row>
    <row r="783" spans="4:4">
      <c r="D783" s="1" t="str">
        <f t="shared" si="25"/>
        <v/>
      </c>
    </row>
    <row r="784" spans="4:4">
      <c r="D784" s="1" t="str">
        <f t="shared" si="25"/>
        <v/>
      </c>
    </row>
    <row r="785" spans="4:4">
      <c r="D785" s="1" t="str">
        <f t="shared" si="25"/>
        <v/>
      </c>
    </row>
    <row r="786" spans="4:4">
      <c r="D786" s="1" t="str">
        <f t="shared" si="25"/>
        <v/>
      </c>
    </row>
    <row r="787" spans="4:4">
      <c r="D787" s="1" t="str">
        <f t="shared" si="25"/>
        <v/>
      </c>
    </row>
    <row r="788" spans="4:4">
      <c r="D788" s="1" t="str">
        <f t="shared" si="25"/>
        <v/>
      </c>
    </row>
    <row r="789" spans="4:4">
      <c r="D789" s="1" t="str">
        <f t="shared" si="25"/>
        <v/>
      </c>
    </row>
    <row r="790" spans="4:4">
      <c r="D790" s="1" t="str">
        <f t="shared" si="25"/>
        <v/>
      </c>
    </row>
    <row r="791" spans="4:4">
      <c r="D791" s="1" t="str">
        <f t="shared" si="25"/>
        <v/>
      </c>
    </row>
    <row r="792" spans="4:4">
      <c r="D792" s="1" t="str">
        <f t="shared" si="25"/>
        <v/>
      </c>
    </row>
    <row r="793" spans="4:4">
      <c r="D793" s="1" t="str">
        <f t="shared" si="25"/>
        <v/>
      </c>
    </row>
    <row r="794" spans="4:4">
      <c r="D794" s="1" t="str">
        <f t="shared" si="25"/>
        <v/>
      </c>
    </row>
    <row r="795" spans="4:4">
      <c r="D795" s="1" t="str">
        <f t="shared" si="25"/>
        <v/>
      </c>
    </row>
    <row r="796" spans="4:4">
      <c r="D796" s="1" t="str">
        <f t="shared" si="25"/>
        <v/>
      </c>
    </row>
    <row r="797" spans="4:4">
      <c r="D797" s="1" t="str">
        <f t="shared" si="25"/>
        <v/>
      </c>
    </row>
    <row r="798" spans="4:4">
      <c r="D798" s="1" t="str">
        <f t="shared" si="25"/>
        <v/>
      </c>
    </row>
    <row r="799" spans="4:4">
      <c r="D799" s="1" t="str">
        <f t="shared" si="25"/>
        <v/>
      </c>
    </row>
    <row r="800" spans="4:4">
      <c r="D800" s="1" t="str">
        <f t="shared" si="25"/>
        <v/>
      </c>
    </row>
    <row r="801" spans="4:4">
      <c r="D801" s="1" t="str">
        <f t="shared" si="25"/>
        <v/>
      </c>
    </row>
    <row r="802" spans="4:4">
      <c r="D802" s="1" t="str">
        <f t="shared" si="25"/>
        <v/>
      </c>
    </row>
    <row r="803" spans="4:4">
      <c r="D803" s="1" t="str">
        <f t="shared" si="25"/>
        <v/>
      </c>
    </row>
    <row r="804" spans="4:4">
      <c r="D804" s="1" t="str">
        <f t="shared" si="25"/>
        <v/>
      </c>
    </row>
    <row r="805" spans="4:4">
      <c r="D805" s="1" t="str">
        <f t="shared" si="25"/>
        <v/>
      </c>
    </row>
    <row r="806" spans="4:4">
      <c r="D806" s="1" t="str">
        <f t="shared" si="25"/>
        <v/>
      </c>
    </row>
    <row r="807" spans="4:4">
      <c r="D807" s="1" t="str">
        <f t="shared" si="25"/>
        <v/>
      </c>
    </row>
    <row r="808" spans="4:4">
      <c r="D808" s="1" t="str">
        <f t="shared" si="25"/>
        <v/>
      </c>
    </row>
    <row r="809" spans="4:4">
      <c r="D809" s="1" t="str">
        <f t="shared" si="25"/>
        <v/>
      </c>
    </row>
    <row r="810" spans="4:4">
      <c r="D810" s="1" t="str">
        <f t="shared" si="25"/>
        <v/>
      </c>
    </row>
    <row r="811" spans="4:4">
      <c r="D811" s="1" t="str">
        <f t="shared" si="25"/>
        <v/>
      </c>
    </row>
    <row r="812" spans="4:4">
      <c r="D812" s="1" t="str">
        <f t="shared" si="25"/>
        <v/>
      </c>
    </row>
    <row r="813" spans="4:4">
      <c r="D813" s="1" t="str">
        <f t="shared" si="25"/>
        <v/>
      </c>
    </row>
    <row r="814" spans="4:4">
      <c r="D814" s="1" t="str">
        <f t="shared" si="25"/>
        <v/>
      </c>
    </row>
    <row r="815" spans="4:4">
      <c r="D815" s="1" t="str">
        <f t="shared" si="25"/>
        <v/>
      </c>
    </row>
    <row r="816" spans="4:4">
      <c r="D816" s="1" t="str">
        <f t="shared" si="25"/>
        <v/>
      </c>
    </row>
    <row r="817" spans="4:4">
      <c r="D817" s="1" t="str">
        <f t="shared" si="25"/>
        <v/>
      </c>
    </row>
    <row r="818" spans="4:4">
      <c r="D818" s="1" t="str">
        <f t="shared" si="25"/>
        <v/>
      </c>
    </row>
    <row r="819" spans="4:4">
      <c r="D819" s="1" t="str">
        <f t="shared" si="25"/>
        <v/>
      </c>
    </row>
    <row r="820" spans="4:4">
      <c r="D820" s="1" t="str">
        <f t="shared" si="25"/>
        <v/>
      </c>
    </row>
    <row r="821" spans="4:4">
      <c r="D821" s="1" t="str">
        <f t="shared" si="25"/>
        <v/>
      </c>
    </row>
    <row r="822" spans="4:4">
      <c r="D822" s="1" t="str">
        <f t="shared" si="25"/>
        <v/>
      </c>
    </row>
    <row r="823" spans="4:4">
      <c r="D823" s="1" t="str">
        <f t="shared" si="25"/>
        <v/>
      </c>
    </row>
    <row r="824" spans="4:4">
      <c r="D824" s="1" t="str">
        <f t="shared" si="25"/>
        <v/>
      </c>
    </row>
    <row r="825" spans="4:4">
      <c r="D825" s="1" t="str">
        <f t="shared" si="25"/>
        <v/>
      </c>
    </row>
    <row r="826" spans="4:4">
      <c r="D826" s="1" t="str">
        <f t="shared" si="25"/>
        <v/>
      </c>
    </row>
    <row r="827" spans="4:4">
      <c r="D827" s="1" t="str">
        <f t="shared" si="25"/>
        <v/>
      </c>
    </row>
    <row r="828" spans="4:4">
      <c r="D828" s="1" t="str">
        <f t="shared" si="25"/>
        <v/>
      </c>
    </row>
    <row r="829" spans="4:4">
      <c r="D829" s="1" t="str">
        <f t="shared" si="25"/>
        <v/>
      </c>
    </row>
    <row r="830" spans="4:4">
      <c r="D830" s="1" t="str">
        <f t="shared" si="25"/>
        <v/>
      </c>
    </row>
    <row r="831" spans="4:4">
      <c r="D831" s="1" t="str">
        <f t="shared" si="25"/>
        <v/>
      </c>
    </row>
    <row r="832" spans="4:4">
      <c r="D832" s="1" t="str">
        <f t="shared" si="25"/>
        <v/>
      </c>
    </row>
    <row r="833" spans="4:4">
      <c r="D833" s="1" t="str">
        <f t="shared" si="25"/>
        <v/>
      </c>
    </row>
    <row r="834" spans="4:4">
      <c r="D834" s="1" t="str">
        <f t="shared" si="25"/>
        <v/>
      </c>
    </row>
    <row r="835" spans="4:4">
      <c r="D835" s="1" t="str">
        <f t="shared" si="25"/>
        <v/>
      </c>
    </row>
    <row r="836" spans="4:4">
      <c r="D836" s="1" t="str">
        <f t="shared" si="25"/>
        <v/>
      </c>
    </row>
    <row r="837" spans="4:4">
      <c r="D837" s="1" t="str">
        <f t="shared" si="25"/>
        <v/>
      </c>
    </row>
    <row r="838" spans="4:4">
      <c r="D838" s="1" t="str">
        <f t="shared" si="25"/>
        <v/>
      </c>
    </row>
    <row r="839" spans="4:4">
      <c r="D839" s="1" t="str">
        <f t="shared" si="25"/>
        <v/>
      </c>
    </row>
    <row r="840" spans="4:4">
      <c r="D840" s="1" t="str">
        <f t="shared" si="25"/>
        <v/>
      </c>
    </row>
    <row r="841" spans="4:4">
      <c r="D841" s="1" t="str">
        <f t="shared" si="25"/>
        <v/>
      </c>
    </row>
    <row r="842" spans="4:4">
      <c r="D842" s="1" t="str">
        <f t="shared" si="25"/>
        <v/>
      </c>
    </row>
    <row r="843" spans="4:4">
      <c r="D843" s="1" t="str">
        <f t="shared" ref="D843:D906" si="26">IF(F843&lt;&gt;"",RIGHT(F843, LEN(F843) - FIND(" - ", F843) - 2),"")</f>
        <v/>
      </c>
    </row>
    <row r="844" spans="4:4">
      <c r="D844" s="1" t="str">
        <f t="shared" si="26"/>
        <v/>
      </c>
    </row>
    <row r="845" spans="4:4">
      <c r="D845" s="1" t="str">
        <f t="shared" si="26"/>
        <v/>
      </c>
    </row>
    <row r="846" spans="4:4">
      <c r="D846" s="1" t="str">
        <f t="shared" si="26"/>
        <v/>
      </c>
    </row>
    <row r="847" spans="4:4">
      <c r="D847" s="1" t="str">
        <f t="shared" si="26"/>
        <v/>
      </c>
    </row>
    <row r="848" spans="4:4">
      <c r="D848" s="1" t="str">
        <f t="shared" si="26"/>
        <v/>
      </c>
    </row>
    <row r="849" spans="4:4">
      <c r="D849" s="1" t="str">
        <f t="shared" si="26"/>
        <v/>
      </c>
    </row>
    <row r="850" spans="4:4">
      <c r="D850" s="1" t="str">
        <f t="shared" si="26"/>
        <v/>
      </c>
    </row>
    <row r="851" spans="4:4">
      <c r="D851" s="1" t="str">
        <f t="shared" si="26"/>
        <v/>
      </c>
    </row>
    <row r="852" spans="4:4">
      <c r="D852" s="1" t="str">
        <f t="shared" si="26"/>
        <v/>
      </c>
    </row>
    <row r="853" spans="4:4">
      <c r="D853" s="1" t="str">
        <f t="shared" si="26"/>
        <v/>
      </c>
    </row>
    <row r="854" spans="4:4">
      <c r="D854" s="1" t="str">
        <f t="shared" si="26"/>
        <v/>
      </c>
    </row>
    <row r="855" spans="4:4">
      <c r="D855" s="1" t="str">
        <f t="shared" si="26"/>
        <v/>
      </c>
    </row>
    <row r="856" spans="4:4">
      <c r="D856" s="1" t="str">
        <f t="shared" si="26"/>
        <v/>
      </c>
    </row>
    <row r="857" spans="4:4">
      <c r="D857" s="1" t="str">
        <f t="shared" si="26"/>
        <v/>
      </c>
    </row>
    <row r="858" spans="4:4">
      <c r="D858" s="1" t="str">
        <f t="shared" si="26"/>
        <v/>
      </c>
    </row>
    <row r="859" spans="4:4">
      <c r="D859" s="1" t="str">
        <f t="shared" si="26"/>
        <v/>
      </c>
    </row>
    <row r="860" spans="4:4">
      <c r="D860" s="1" t="str">
        <f t="shared" si="26"/>
        <v/>
      </c>
    </row>
    <row r="861" spans="4:4">
      <c r="D861" s="1" t="str">
        <f t="shared" si="26"/>
        <v/>
      </c>
    </row>
    <row r="862" spans="4:4">
      <c r="D862" s="1" t="str">
        <f t="shared" si="26"/>
        <v/>
      </c>
    </row>
    <row r="863" spans="4:4">
      <c r="D863" s="1" t="str">
        <f t="shared" si="26"/>
        <v/>
      </c>
    </row>
    <row r="864" spans="4:4">
      <c r="D864" s="1" t="str">
        <f t="shared" si="26"/>
        <v/>
      </c>
    </row>
    <row r="865" spans="4:4">
      <c r="D865" s="1" t="str">
        <f t="shared" si="26"/>
        <v/>
      </c>
    </row>
    <row r="866" spans="4:4">
      <c r="D866" s="1" t="str">
        <f t="shared" si="26"/>
        <v/>
      </c>
    </row>
    <row r="867" spans="4:4">
      <c r="D867" s="1" t="str">
        <f t="shared" si="26"/>
        <v/>
      </c>
    </row>
    <row r="868" spans="4:4">
      <c r="D868" s="1" t="str">
        <f t="shared" si="26"/>
        <v/>
      </c>
    </row>
    <row r="869" spans="4:4">
      <c r="D869" s="1" t="str">
        <f t="shared" si="26"/>
        <v/>
      </c>
    </row>
    <row r="870" spans="4:4">
      <c r="D870" s="1" t="str">
        <f t="shared" si="26"/>
        <v/>
      </c>
    </row>
    <row r="871" spans="4:4">
      <c r="D871" s="1" t="str">
        <f t="shared" si="26"/>
        <v/>
      </c>
    </row>
    <row r="872" spans="4:4">
      <c r="D872" s="1" t="str">
        <f t="shared" si="26"/>
        <v/>
      </c>
    </row>
    <row r="873" spans="4:4">
      <c r="D873" s="1" t="str">
        <f t="shared" si="26"/>
        <v/>
      </c>
    </row>
    <row r="874" spans="4:4">
      <c r="D874" s="1" t="str">
        <f t="shared" si="26"/>
        <v/>
      </c>
    </row>
    <row r="875" spans="4:4">
      <c r="D875" s="1" t="str">
        <f t="shared" si="26"/>
        <v/>
      </c>
    </row>
    <row r="876" spans="4:4">
      <c r="D876" s="1" t="str">
        <f t="shared" si="26"/>
        <v/>
      </c>
    </row>
    <row r="877" spans="4:4">
      <c r="D877" s="1" t="str">
        <f t="shared" si="26"/>
        <v/>
      </c>
    </row>
    <row r="878" spans="4:4">
      <c r="D878" s="1" t="str">
        <f t="shared" si="26"/>
        <v/>
      </c>
    </row>
    <row r="879" spans="4:4">
      <c r="D879" s="1" t="str">
        <f t="shared" si="26"/>
        <v/>
      </c>
    </row>
    <row r="880" spans="4:4">
      <c r="D880" s="1" t="str">
        <f t="shared" si="26"/>
        <v/>
      </c>
    </row>
    <row r="881" spans="4:4">
      <c r="D881" s="1" t="str">
        <f t="shared" si="26"/>
        <v/>
      </c>
    </row>
    <row r="882" spans="4:4">
      <c r="D882" s="1" t="str">
        <f t="shared" si="26"/>
        <v/>
      </c>
    </row>
    <row r="883" spans="4:4">
      <c r="D883" s="1" t="str">
        <f t="shared" si="26"/>
        <v/>
      </c>
    </row>
    <row r="884" spans="4:4">
      <c r="D884" s="1" t="str">
        <f t="shared" si="26"/>
        <v/>
      </c>
    </row>
    <row r="885" spans="4:4">
      <c r="D885" s="1" t="str">
        <f t="shared" si="26"/>
        <v/>
      </c>
    </row>
    <row r="886" spans="4:4">
      <c r="D886" s="1" t="str">
        <f t="shared" si="26"/>
        <v/>
      </c>
    </row>
    <row r="887" spans="4:4">
      <c r="D887" s="1" t="str">
        <f t="shared" si="26"/>
        <v/>
      </c>
    </row>
    <row r="888" spans="4:4">
      <c r="D888" s="1" t="str">
        <f t="shared" si="26"/>
        <v/>
      </c>
    </row>
    <row r="889" spans="4:4">
      <c r="D889" s="1" t="str">
        <f t="shared" si="26"/>
        <v/>
      </c>
    </row>
    <row r="890" spans="4:4">
      <c r="D890" s="1" t="str">
        <f t="shared" si="26"/>
        <v/>
      </c>
    </row>
    <row r="891" spans="4:4">
      <c r="D891" s="1" t="str">
        <f t="shared" si="26"/>
        <v/>
      </c>
    </row>
    <row r="892" spans="4:4">
      <c r="D892" s="1" t="str">
        <f t="shared" si="26"/>
        <v/>
      </c>
    </row>
    <row r="893" spans="4:4">
      <c r="D893" s="1" t="str">
        <f t="shared" si="26"/>
        <v/>
      </c>
    </row>
    <row r="894" spans="4:4">
      <c r="D894" s="1" t="str">
        <f t="shared" si="26"/>
        <v/>
      </c>
    </row>
    <row r="895" spans="4:4">
      <c r="D895" s="1" t="str">
        <f t="shared" si="26"/>
        <v/>
      </c>
    </row>
    <row r="896" spans="4:4">
      <c r="D896" s="1" t="str">
        <f t="shared" si="26"/>
        <v/>
      </c>
    </row>
    <row r="897" spans="4:4">
      <c r="D897" s="1" t="str">
        <f t="shared" si="26"/>
        <v/>
      </c>
    </row>
    <row r="898" spans="4:4">
      <c r="D898" s="1" t="str">
        <f t="shared" si="26"/>
        <v/>
      </c>
    </row>
    <row r="899" spans="4:4">
      <c r="D899" s="1" t="str">
        <f t="shared" si="26"/>
        <v/>
      </c>
    </row>
    <row r="900" spans="4:4">
      <c r="D900" s="1" t="str">
        <f t="shared" si="26"/>
        <v/>
      </c>
    </row>
    <row r="901" spans="4:4">
      <c r="D901" s="1" t="str">
        <f t="shared" si="26"/>
        <v/>
      </c>
    </row>
    <row r="902" spans="4:4">
      <c r="D902" s="1" t="str">
        <f t="shared" si="26"/>
        <v/>
      </c>
    </row>
    <row r="903" spans="4:4">
      <c r="D903" s="1" t="str">
        <f t="shared" si="26"/>
        <v/>
      </c>
    </row>
    <row r="904" spans="4:4">
      <c r="D904" s="1" t="str">
        <f t="shared" si="26"/>
        <v/>
      </c>
    </row>
    <row r="905" spans="4:4">
      <c r="D905" s="1" t="str">
        <f t="shared" si="26"/>
        <v/>
      </c>
    </row>
    <row r="906" spans="4:4">
      <c r="D906" s="1" t="str">
        <f t="shared" si="26"/>
        <v/>
      </c>
    </row>
    <row r="907" spans="4:4">
      <c r="D907" s="1" t="str">
        <f t="shared" ref="D907:D970" si="27">IF(F907&lt;&gt;"",RIGHT(F907, LEN(F907) - FIND(" - ", F907) - 2),"")</f>
        <v/>
      </c>
    </row>
    <row r="908" spans="4:4">
      <c r="D908" s="1" t="str">
        <f t="shared" si="27"/>
        <v/>
      </c>
    </row>
    <row r="909" spans="4:4">
      <c r="D909" s="1" t="str">
        <f t="shared" si="27"/>
        <v/>
      </c>
    </row>
    <row r="910" spans="4:4">
      <c r="D910" s="1" t="str">
        <f t="shared" si="27"/>
        <v/>
      </c>
    </row>
    <row r="911" spans="4:4">
      <c r="D911" s="1" t="str">
        <f t="shared" si="27"/>
        <v/>
      </c>
    </row>
    <row r="912" spans="4:4">
      <c r="D912" s="1" t="str">
        <f t="shared" si="27"/>
        <v/>
      </c>
    </row>
    <row r="913" spans="4:4">
      <c r="D913" s="1" t="str">
        <f t="shared" si="27"/>
        <v/>
      </c>
    </row>
    <row r="914" spans="4:4">
      <c r="D914" s="1" t="str">
        <f t="shared" si="27"/>
        <v/>
      </c>
    </row>
    <row r="915" spans="4:4">
      <c r="D915" s="1" t="str">
        <f t="shared" si="27"/>
        <v/>
      </c>
    </row>
    <row r="916" spans="4:4">
      <c r="D916" s="1" t="str">
        <f t="shared" si="27"/>
        <v/>
      </c>
    </row>
    <row r="917" spans="4:4">
      <c r="D917" s="1" t="str">
        <f t="shared" si="27"/>
        <v/>
      </c>
    </row>
    <row r="918" spans="4:4">
      <c r="D918" s="1" t="str">
        <f t="shared" si="27"/>
        <v/>
      </c>
    </row>
    <row r="919" spans="4:4">
      <c r="D919" s="1" t="str">
        <f t="shared" si="27"/>
        <v/>
      </c>
    </row>
    <row r="920" spans="4:4">
      <c r="D920" s="1" t="str">
        <f t="shared" si="27"/>
        <v/>
      </c>
    </row>
    <row r="921" spans="4:4">
      <c r="D921" s="1" t="str">
        <f t="shared" si="27"/>
        <v/>
      </c>
    </row>
    <row r="922" spans="4:4">
      <c r="D922" s="1" t="str">
        <f t="shared" si="27"/>
        <v/>
      </c>
    </row>
    <row r="923" spans="4:4">
      <c r="D923" s="1" t="str">
        <f t="shared" si="27"/>
        <v/>
      </c>
    </row>
    <row r="924" spans="4:4">
      <c r="D924" s="1" t="str">
        <f t="shared" si="27"/>
        <v/>
      </c>
    </row>
    <row r="925" spans="4:4">
      <c r="D925" s="1" t="str">
        <f t="shared" si="27"/>
        <v/>
      </c>
    </row>
    <row r="926" spans="4:4">
      <c r="D926" s="1" t="str">
        <f t="shared" si="27"/>
        <v/>
      </c>
    </row>
    <row r="927" spans="4:4">
      <c r="D927" s="1" t="str">
        <f t="shared" si="27"/>
        <v/>
      </c>
    </row>
    <row r="928" spans="4:4">
      <c r="D928" s="1" t="str">
        <f t="shared" si="27"/>
        <v/>
      </c>
    </row>
    <row r="929" spans="4:4">
      <c r="D929" s="1" t="str">
        <f t="shared" si="27"/>
        <v/>
      </c>
    </row>
    <row r="930" spans="4:4">
      <c r="D930" s="1" t="str">
        <f t="shared" si="27"/>
        <v/>
      </c>
    </row>
    <row r="931" spans="4:4">
      <c r="D931" s="1" t="str">
        <f t="shared" si="27"/>
        <v/>
      </c>
    </row>
    <row r="932" spans="4:4">
      <c r="D932" s="1" t="str">
        <f t="shared" si="27"/>
        <v/>
      </c>
    </row>
    <row r="933" spans="4:4">
      <c r="D933" s="1" t="str">
        <f t="shared" si="27"/>
        <v/>
      </c>
    </row>
    <row r="934" spans="4:4">
      <c r="D934" s="1" t="str">
        <f t="shared" si="27"/>
        <v/>
      </c>
    </row>
    <row r="935" spans="4:4">
      <c r="D935" s="1" t="str">
        <f t="shared" si="27"/>
        <v/>
      </c>
    </row>
    <row r="936" spans="4:4">
      <c r="D936" s="1" t="str">
        <f t="shared" si="27"/>
        <v/>
      </c>
    </row>
    <row r="937" spans="4:4">
      <c r="D937" s="1" t="str">
        <f t="shared" si="27"/>
        <v/>
      </c>
    </row>
    <row r="938" spans="4:4">
      <c r="D938" s="1" t="str">
        <f t="shared" si="27"/>
        <v/>
      </c>
    </row>
    <row r="939" spans="4:4">
      <c r="D939" s="1" t="str">
        <f t="shared" si="27"/>
        <v/>
      </c>
    </row>
    <row r="940" spans="4:4">
      <c r="D940" s="1" t="str">
        <f t="shared" si="27"/>
        <v/>
      </c>
    </row>
    <row r="941" spans="4:4">
      <c r="D941" s="1" t="str">
        <f t="shared" si="27"/>
        <v/>
      </c>
    </row>
    <row r="942" spans="4:4">
      <c r="D942" s="1" t="str">
        <f t="shared" si="27"/>
        <v/>
      </c>
    </row>
    <row r="943" spans="4:4">
      <c r="D943" s="1" t="str">
        <f t="shared" si="27"/>
        <v/>
      </c>
    </row>
    <row r="944" spans="4:4">
      <c r="D944" s="1" t="str">
        <f t="shared" si="27"/>
        <v/>
      </c>
    </row>
    <row r="945" spans="4:4">
      <c r="D945" s="1" t="str">
        <f t="shared" si="27"/>
        <v/>
      </c>
    </row>
    <row r="946" spans="4:4">
      <c r="D946" s="1" t="str">
        <f t="shared" si="27"/>
        <v/>
      </c>
    </row>
    <row r="947" spans="4:4">
      <c r="D947" s="1" t="str">
        <f t="shared" si="27"/>
        <v/>
      </c>
    </row>
    <row r="948" spans="4:4">
      <c r="D948" s="1" t="str">
        <f t="shared" si="27"/>
        <v/>
      </c>
    </row>
    <row r="949" spans="4:4">
      <c r="D949" s="1" t="str">
        <f t="shared" si="27"/>
        <v/>
      </c>
    </row>
    <row r="950" spans="4:4">
      <c r="D950" s="1" t="str">
        <f t="shared" si="27"/>
        <v/>
      </c>
    </row>
    <row r="951" spans="4:4">
      <c r="D951" s="1" t="str">
        <f t="shared" si="27"/>
        <v/>
      </c>
    </row>
    <row r="952" spans="4:4">
      <c r="D952" s="1" t="str">
        <f t="shared" si="27"/>
        <v/>
      </c>
    </row>
    <row r="953" spans="4:4">
      <c r="D953" s="1" t="str">
        <f t="shared" si="27"/>
        <v/>
      </c>
    </row>
    <row r="954" spans="4:4">
      <c r="D954" s="1" t="str">
        <f t="shared" si="27"/>
        <v/>
      </c>
    </row>
    <row r="955" spans="4:4">
      <c r="D955" s="1" t="str">
        <f t="shared" si="27"/>
        <v/>
      </c>
    </row>
    <row r="956" spans="4:4">
      <c r="D956" s="1" t="str">
        <f t="shared" si="27"/>
        <v/>
      </c>
    </row>
    <row r="957" spans="4:4">
      <c r="D957" s="1" t="str">
        <f t="shared" si="27"/>
        <v/>
      </c>
    </row>
    <row r="958" spans="4:4">
      <c r="D958" s="1" t="str">
        <f t="shared" si="27"/>
        <v/>
      </c>
    </row>
    <row r="959" spans="4:4">
      <c r="D959" s="1" t="str">
        <f t="shared" si="27"/>
        <v/>
      </c>
    </row>
    <row r="960" spans="4:4">
      <c r="D960" s="1" t="str">
        <f t="shared" si="27"/>
        <v/>
      </c>
    </row>
    <row r="961" spans="4:4">
      <c r="D961" s="1" t="str">
        <f t="shared" si="27"/>
        <v/>
      </c>
    </row>
    <row r="962" spans="4:4">
      <c r="D962" s="1" t="str">
        <f t="shared" si="27"/>
        <v/>
      </c>
    </row>
    <row r="963" spans="4:4">
      <c r="D963" s="1" t="str">
        <f t="shared" si="27"/>
        <v/>
      </c>
    </row>
    <row r="964" spans="4:4">
      <c r="D964" s="1" t="str">
        <f t="shared" si="27"/>
        <v/>
      </c>
    </row>
    <row r="965" spans="4:4">
      <c r="D965" s="1" t="str">
        <f t="shared" si="27"/>
        <v/>
      </c>
    </row>
    <row r="966" spans="4:4">
      <c r="D966" s="1" t="str">
        <f t="shared" si="27"/>
        <v/>
      </c>
    </row>
    <row r="967" spans="4:4">
      <c r="D967" s="1" t="str">
        <f t="shared" si="27"/>
        <v/>
      </c>
    </row>
    <row r="968" spans="4:4">
      <c r="D968" s="1" t="str">
        <f t="shared" si="27"/>
        <v/>
      </c>
    </row>
    <row r="969" spans="4:4">
      <c r="D969" s="1" t="str">
        <f t="shared" si="27"/>
        <v/>
      </c>
    </row>
    <row r="970" spans="4:4">
      <c r="D970" s="1" t="str">
        <f t="shared" si="27"/>
        <v/>
      </c>
    </row>
    <row r="971" spans="4:4">
      <c r="D971" s="1" t="str">
        <f t="shared" ref="D971:D1034" si="28">IF(F971&lt;&gt;"",RIGHT(F971, LEN(F971) - FIND(" - ", F971) - 2),"")</f>
        <v/>
      </c>
    </row>
    <row r="972" spans="4:4">
      <c r="D972" s="1" t="str">
        <f t="shared" si="28"/>
        <v/>
      </c>
    </row>
    <row r="973" spans="4:4">
      <c r="D973" s="1" t="str">
        <f t="shared" si="28"/>
        <v/>
      </c>
    </row>
    <row r="974" spans="4:4">
      <c r="D974" s="1" t="str">
        <f t="shared" si="28"/>
        <v/>
      </c>
    </row>
    <row r="975" spans="4:4">
      <c r="D975" s="1" t="str">
        <f t="shared" si="28"/>
        <v/>
      </c>
    </row>
    <row r="976" spans="4:4">
      <c r="D976" s="1" t="str">
        <f t="shared" si="28"/>
        <v/>
      </c>
    </row>
    <row r="977" spans="4:4">
      <c r="D977" s="1" t="str">
        <f t="shared" si="28"/>
        <v/>
      </c>
    </row>
    <row r="978" spans="4:4">
      <c r="D978" s="1" t="str">
        <f t="shared" si="28"/>
        <v/>
      </c>
    </row>
    <row r="979" spans="4:4">
      <c r="D979" s="1" t="str">
        <f t="shared" si="28"/>
        <v/>
      </c>
    </row>
    <row r="980" spans="4:4">
      <c r="D980" s="1" t="str">
        <f t="shared" si="28"/>
        <v/>
      </c>
    </row>
    <row r="981" spans="4:4">
      <c r="D981" s="1" t="str">
        <f t="shared" si="28"/>
        <v/>
      </c>
    </row>
    <row r="982" spans="4:4">
      <c r="D982" s="1" t="str">
        <f t="shared" si="28"/>
        <v/>
      </c>
    </row>
    <row r="983" spans="4:4">
      <c r="D983" s="1" t="str">
        <f t="shared" si="28"/>
        <v/>
      </c>
    </row>
    <row r="984" spans="4:4">
      <c r="D984" s="1" t="str">
        <f t="shared" si="28"/>
        <v/>
      </c>
    </row>
    <row r="985" spans="4:4">
      <c r="D985" s="1" t="str">
        <f t="shared" si="28"/>
        <v/>
      </c>
    </row>
    <row r="986" spans="4:4">
      <c r="D986" s="1" t="str">
        <f t="shared" si="28"/>
        <v/>
      </c>
    </row>
    <row r="987" spans="4:4">
      <c r="D987" s="1" t="str">
        <f t="shared" si="28"/>
        <v/>
      </c>
    </row>
    <row r="988" spans="4:4">
      <c r="D988" s="1" t="str">
        <f t="shared" si="28"/>
        <v/>
      </c>
    </row>
    <row r="989" spans="4:4">
      <c r="D989" s="1" t="str">
        <f t="shared" si="28"/>
        <v/>
      </c>
    </row>
    <row r="990" spans="4:4">
      <c r="D990" s="1" t="str">
        <f t="shared" si="28"/>
        <v/>
      </c>
    </row>
    <row r="991" spans="4:4">
      <c r="D991" s="1" t="str">
        <f t="shared" si="28"/>
        <v/>
      </c>
    </row>
    <row r="992" spans="4:4">
      <c r="D992" s="1" t="str">
        <f t="shared" si="28"/>
        <v/>
      </c>
    </row>
    <row r="993" spans="4:4">
      <c r="D993" s="1" t="str">
        <f t="shared" si="28"/>
        <v/>
      </c>
    </row>
    <row r="994" spans="4:4">
      <c r="D994" s="1" t="str">
        <f t="shared" si="28"/>
        <v/>
      </c>
    </row>
    <row r="995" spans="4:4">
      <c r="D995" s="1" t="str">
        <f t="shared" si="28"/>
        <v/>
      </c>
    </row>
    <row r="996" spans="4:4">
      <c r="D996" s="1" t="str">
        <f t="shared" si="28"/>
        <v/>
      </c>
    </row>
    <row r="997" spans="4:4">
      <c r="D997" s="1" t="str">
        <f t="shared" si="28"/>
        <v/>
      </c>
    </row>
    <row r="998" spans="4:4">
      <c r="D998" s="1" t="str">
        <f t="shared" si="28"/>
        <v/>
      </c>
    </row>
    <row r="999" spans="4:4">
      <c r="D999" s="1" t="str">
        <f t="shared" si="28"/>
        <v/>
      </c>
    </row>
    <row r="1000" spans="4:4">
      <c r="D1000" s="1" t="str">
        <f t="shared" si="28"/>
        <v/>
      </c>
    </row>
    <row r="1001" spans="4:4">
      <c r="D1001" s="1" t="str">
        <f t="shared" si="28"/>
        <v/>
      </c>
    </row>
    <row r="1002" spans="4:4">
      <c r="D1002" s="1" t="str">
        <f t="shared" si="28"/>
        <v/>
      </c>
    </row>
    <row r="1003" spans="4:4">
      <c r="D1003" s="1" t="str">
        <f t="shared" si="28"/>
        <v/>
      </c>
    </row>
    <row r="1004" spans="4:4">
      <c r="D1004" s="1" t="str">
        <f t="shared" si="28"/>
        <v/>
      </c>
    </row>
    <row r="1005" spans="4:4">
      <c r="D1005" s="1" t="str">
        <f t="shared" si="28"/>
        <v/>
      </c>
    </row>
    <row r="1006" spans="4:4">
      <c r="D1006" s="1" t="str">
        <f t="shared" si="28"/>
        <v/>
      </c>
    </row>
    <row r="1007" spans="4:4">
      <c r="D1007" s="1" t="str">
        <f t="shared" si="28"/>
        <v/>
      </c>
    </row>
    <row r="1008" spans="4:4">
      <c r="D1008" s="1" t="str">
        <f t="shared" si="28"/>
        <v/>
      </c>
    </row>
    <row r="1009" spans="4:4">
      <c r="D1009" s="1" t="str">
        <f t="shared" si="28"/>
        <v/>
      </c>
    </row>
    <row r="1010" spans="4:4">
      <c r="D1010" s="1" t="str">
        <f t="shared" si="28"/>
        <v/>
      </c>
    </row>
    <row r="1011" spans="4:4">
      <c r="D1011" s="1" t="str">
        <f t="shared" si="28"/>
        <v/>
      </c>
    </row>
    <row r="1012" spans="4:4">
      <c r="D1012" s="1" t="str">
        <f t="shared" si="28"/>
        <v/>
      </c>
    </row>
    <row r="1013" spans="4:4">
      <c r="D1013" s="1" t="str">
        <f t="shared" si="28"/>
        <v/>
      </c>
    </row>
    <row r="1014" spans="4:4">
      <c r="D1014" s="1" t="str">
        <f t="shared" si="28"/>
        <v/>
      </c>
    </row>
    <row r="1015" spans="4:4">
      <c r="D1015" s="1" t="str">
        <f t="shared" si="28"/>
        <v/>
      </c>
    </row>
    <row r="1016" spans="4:4">
      <c r="D1016" s="1" t="str">
        <f t="shared" si="28"/>
        <v/>
      </c>
    </row>
    <row r="1017" spans="4:4">
      <c r="D1017" s="1" t="str">
        <f t="shared" si="28"/>
        <v/>
      </c>
    </row>
    <row r="1018" spans="4:4">
      <c r="D1018" s="1" t="str">
        <f t="shared" si="28"/>
        <v/>
      </c>
    </row>
    <row r="1019" spans="4:4">
      <c r="D1019" s="1" t="str">
        <f t="shared" si="28"/>
        <v/>
      </c>
    </row>
    <row r="1020" spans="4:4">
      <c r="D1020" s="1" t="str">
        <f t="shared" si="28"/>
        <v/>
      </c>
    </row>
    <row r="1021" spans="4:4">
      <c r="D1021" s="1" t="str">
        <f t="shared" si="28"/>
        <v/>
      </c>
    </row>
    <row r="1022" spans="4:4">
      <c r="D1022" s="1" t="str">
        <f t="shared" si="28"/>
        <v/>
      </c>
    </row>
    <row r="1023" spans="4:4">
      <c r="D1023" s="1" t="str">
        <f t="shared" si="28"/>
        <v/>
      </c>
    </row>
    <row r="1024" spans="4:4">
      <c r="D1024" s="1" t="str">
        <f t="shared" si="28"/>
        <v/>
      </c>
    </row>
    <row r="1025" spans="4:4">
      <c r="D1025" s="1" t="str">
        <f t="shared" si="28"/>
        <v/>
      </c>
    </row>
    <row r="1026" spans="4:4">
      <c r="D1026" s="1" t="str">
        <f t="shared" si="28"/>
        <v/>
      </c>
    </row>
    <row r="1027" spans="4:4">
      <c r="D1027" s="1" t="str">
        <f t="shared" si="28"/>
        <v/>
      </c>
    </row>
    <row r="1028" spans="4:4">
      <c r="D1028" s="1" t="str">
        <f t="shared" si="28"/>
        <v/>
      </c>
    </row>
    <row r="1029" spans="4:4">
      <c r="D1029" s="1" t="str">
        <f t="shared" si="28"/>
        <v/>
      </c>
    </row>
    <row r="1030" spans="4:4">
      <c r="D1030" s="1" t="str">
        <f t="shared" si="28"/>
        <v/>
      </c>
    </row>
    <row r="1031" spans="4:4">
      <c r="D1031" s="1" t="str">
        <f t="shared" si="28"/>
        <v/>
      </c>
    </row>
    <row r="1032" spans="4:4">
      <c r="D1032" s="1" t="str">
        <f t="shared" si="28"/>
        <v/>
      </c>
    </row>
    <row r="1033" spans="4:4">
      <c r="D1033" s="1" t="str">
        <f t="shared" si="28"/>
        <v/>
      </c>
    </row>
    <row r="1034" spans="4:4">
      <c r="D1034" s="1" t="str">
        <f t="shared" si="28"/>
        <v/>
      </c>
    </row>
    <row r="1035" spans="4:4">
      <c r="D1035" s="1" t="str">
        <f t="shared" ref="D1035:D1098" si="29">IF(F1035&lt;&gt;"",RIGHT(F1035, LEN(F1035) - FIND(" - ", F1035) - 2),"")</f>
        <v/>
      </c>
    </row>
    <row r="1036" spans="4:4">
      <c r="D1036" s="1" t="str">
        <f t="shared" si="29"/>
        <v/>
      </c>
    </row>
    <row r="1037" spans="4:4">
      <c r="D1037" s="1" t="str">
        <f t="shared" si="29"/>
        <v/>
      </c>
    </row>
    <row r="1038" spans="4:4">
      <c r="D1038" s="1" t="str">
        <f t="shared" si="29"/>
        <v/>
      </c>
    </row>
    <row r="1039" spans="4:4">
      <c r="D1039" s="1" t="str">
        <f t="shared" si="29"/>
        <v/>
      </c>
    </row>
    <row r="1040" spans="4:4">
      <c r="D1040" s="1" t="str">
        <f t="shared" si="29"/>
        <v/>
      </c>
    </row>
    <row r="1041" spans="4:4">
      <c r="D1041" s="1" t="str">
        <f t="shared" si="29"/>
        <v/>
      </c>
    </row>
    <row r="1042" spans="4:4">
      <c r="D1042" s="1" t="str">
        <f t="shared" si="29"/>
        <v/>
      </c>
    </row>
    <row r="1043" spans="4:4">
      <c r="D1043" s="1" t="str">
        <f t="shared" si="29"/>
        <v/>
      </c>
    </row>
    <row r="1044" spans="4:4">
      <c r="D1044" s="1" t="str">
        <f t="shared" si="29"/>
        <v/>
      </c>
    </row>
    <row r="1045" spans="4:4">
      <c r="D1045" s="1" t="str">
        <f t="shared" si="29"/>
        <v/>
      </c>
    </row>
    <row r="1046" spans="4:4">
      <c r="D1046" s="1" t="str">
        <f t="shared" si="29"/>
        <v/>
      </c>
    </row>
    <row r="1047" spans="4:4">
      <c r="D1047" s="1" t="str">
        <f t="shared" si="29"/>
        <v/>
      </c>
    </row>
    <row r="1048" spans="4:4">
      <c r="D1048" s="1" t="str">
        <f t="shared" si="29"/>
        <v/>
      </c>
    </row>
    <row r="1049" spans="4:4">
      <c r="D1049" s="1" t="str">
        <f t="shared" si="29"/>
        <v/>
      </c>
    </row>
    <row r="1050" spans="4:4">
      <c r="D1050" s="1" t="str">
        <f t="shared" si="29"/>
        <v/>
      </c>
    </row>
    <row r="1051" spans="4:4">
      <c r="D1051" s="1" t="str">
        <f t="shared" si="29"/>
        <v/>
      </c>
    </row>
    <row r="1052" spans="4:4">
      <c r="D1052" s="1" t="str">
        <f t="shared" si="29"/>
        <v/>
      </c>
    </row>
    <row r="1053" spans="4:4">
      <c r="D1053" s="1" t="str">
        <f t="shared" si="29"/>
        <v/>
      </c>
    </row>
    <row r="1054" spans="4:4">
      <c r="D1054" s="1" t="str">
        <f t="shared" si="29"/>
        <v/>
      </c>
    </row>
    <row r="1055" spans="4:4">
      <c r="D1055" s="1" t="str">
        <f t="shared" si="29"/>
        <v/>
      </c>
    </row>
    <row r="1056" spans="4:4">
      <c r="D1056" s="1" t="str">
        <f t="shared" si="29"/>
        <v/>
      </c>
    </row>
    <row r="1057" spans="4:4">
      <c r="D1057" s="1" t="str">
        <f t="shared" si="29"/>
        <v/>
      </c>
    </row>
    <row r="1058" spans="4:4">
      <c r="D1058" s="1" t="str">
        <f t="shared" si="29"/>
        <v/>
      </c>
    </row>
    <row r="1059" spans="4:4">
      <c r="D1059" s="1" t="str">
        <f t="shared" si="29"/>
        <v/>
      </c>
    </row>
    <row r="1060" spans="4:4">
      <c r="D1060" s="1" t="str">
        <f t="shared" si="29"/>
        <v/>
      </c>
    </row>
    <row r="1061" spans="4:4">
      <c r="D1061" s="1" t="str">
        <f t="shared" si="29"/>
        <v/>
      </c>
    </row>
    <row r="1062" spans="4:4">
      <c r="D1062" s="1" t="str">
        <f t="shared" si="29"/>
        <v/>
      </c>
    </row>
    <row r="1063" spans="4:4">
      <c r="D1063" s="1" t="str">
        <f t="shared" si="29"/>
        <v/>
      </c>
    </row>
    <row r="1064" spans="4:4">
      <c r="D1064" s="1" t="str">
        <f t="shared" si="29"/>
        <v/>
      </c>
    </row>
    <row r="1065" spans="4:4">
      <c r="D1065" s="1" t="str">
        <f t="shared" si="29"/>
        <v/>
      </c>
    </row>
    <row r="1066" spans="4:4">
      <c r="D1066" s="1" t="str">
        <f t="shared" si="29"/>
        <v/>
      </c>
    </row>
    <row r="1067" spans="4:4">
      <c r="D1067" s="1" t="str">
        <f t="shared" si="29"/>
        <v/>
      </c>
    </row>
    <row r="1068" spans="4:4">
      <c r="D1068" s="1" t="str">
        <f t="shared" si="29"/>
        <v/>
      </c>
    </row>
    <row r="1069" spans="4:4">
      <c r="D1069" s="1" t="str">
        <f t="shared" si="29"/>
        <v/>
      </c>
    </row>
    <row r="1070" spans="4:4">
      <c r="D1070" s="1" t="str">
        <f t="shared" si="29"/>
        <v/>
      </c>
    </row>
    <row r="1071" spans="4:4">
      <c r="D1071" s="1" t="str">
        <f t="shared" si="29"/>
        <v/>
      </c>
    </row>
    <row r="1072" spans="4:4">
      <c r="D1072" s="1" t="str">
        <f t="shared" si="29"/>
        <v/>
      </c>
    </row>
    <row r="1073" spans="4:4">
      <c r="D1073" s="1" t="str">
        <f t="shared" si="29"/>
        <v/>
      </c>
    </row>
    <row r="1074" spans="4:4">
      <c r="D1074" s="1" t="str">
        <f t="shared" si="29"/>
        <v/>
      </c>
    </row>
    <row r="1075" spans="4:4">
      <c r="D1075" s="1" t="str">
        <f t="shared" si="29"/>
        <v/>
      </c>
    </row>
    <row r="1076" spans="4:4">
      <c r="D1076" s="1" t="str">
        <f t="shared" si="29"/>
        <v/>
      </c>
    </row>
    <row r="1077" spans="4:4">
      <c r="D1077" s="1" t="str">
        <f t="shared" si="29"/>
        <v/>
      </c>
    </row>
    <row r="1078" spans="4:4">
      <c r="D1078" s="1" t="str">
        <f t="shared" si="29"/>
        <v/>
      </c>
    </row>
    <row r="1079" spans="4:4">
      <c r="D1079" s="1" t="str">
        <f t="shared" si="29"/>
        <v/>
      </c>
    </row>
    <row r="1080" spans="4:4">
      <c r="D1080" s="1" t="str">
        <f t="shared" si="29"/>
        <v/>
      </c>
    </row>
    <row r="1081" spans="4:4">
      <c r="D1081" s="1" t="str">
        <f t="shared" si="29"/>
        <v/>
      </c>
    </row>
    <row r="1082" spans="4:4">
      <c r="D1082" s="1" t="str">
        <f t="shared" si="29"/>
        <v/>
      </c>
    </row>
    <row r="1083" spans="4:4">
      <c r="D1083" s="1" t="str">
        <f t="shared" si="29"/>
        <v/>
      </c>
    </row>
    <row r="1084" spans="4:4">
      <c r="D1084" s="1" t="str">
        <f t="shared" si="29"/>
        <v/>
      </c>
    </row>
    <row r="1085" spans="4:4">
      <c r="D1085" s="1" t="str">
        <f t="shared" si="29"/>
        <v/>
      </c>
    </row>
    <row r="1086" spans="4:4">
      <c r="D1086" s="1" t="str">
        <f t="shared" si="29"/>
        <v/>
      </c>
    </row>
    <row r="1087" spans="4:4">
      <c r="D1087" s="1" t="str">
        <f t="shared" si="29"/>
        <v/>
      </c>
    </row>
    <row r="1088" spans="4:4">
      <c r="D1088" s="1" t="str">
        <f t="shared" si="29"/>
        <v/>
      </c>
    </row>
    <row r="1089" spans="4:4">
      <c r="D1089" s="1" t="str">
        <f t="shared" si="29"/>
        <v/>
      </c>
    </row>
    <row r="1090" spans="4:4">
      <c r="D1090" s="1" t="str">
        <f t="shared" si="29"/>
        <v/>
      </c>
    </row>
    <row r="1091" spans="4:4">
      <c r="D1091" s="1" t="str">
        <f t="shared" si="29"/>
        <v/>
      </c>
    </row>
    <row r="1092" spans="4:4">
      <c r="D1092" s="1" t="str">
        <f t="shared" si="29"/>
        <v/>
      </c>
    </row>
    <row r="1093" spans="4:4">
      <c r="D1093" s="1" t="str">
        <f t="shared" si="29"/>
        <v/>
      </c>
    </row>
    <row r="1094" spans="4:4">
      <c r="D1094" s="1" t="str">
        <f t="shared" si="29"/>
        <v/>
      </c>
    </row>
    <row r="1095" spans="4:4">
      <c r="D1095" s="1" t="str">
        <f t="shared" si="29"/>
        <v/>
      </c>
    </row>
    <row r="1096" spans="4:4">
      <c r="D1096" s="1" t="str">
        <f t="shared" si="29"/>
        <v/>
      </c>
    </row>
    <row r="1097" spans="4:4">
      <c r="D1097" s="1" t="str">
        <f t="shared" si="29"/>
        <v/>
      </c>
    </row>
    <row r="1098" spans="4:4">
      <c r="D1098" s="1" t="str">
        <f t="shared" si="29"/>
        <v/>
      </c>
    </row>
    <row r="1099" spans="4:4">
      <c r="D1099" s="1" t="str">
        <f t="shared" ref="D1099:D1162" si="30">IF(F1099&lt;&gt;"",RIGHT(F1099, LEN(F1099) - FIND(" - ", F1099) - 2),"")</f>
        <v/>
      </c>
    </row>
    <row r="1100" spans="4:4">
      <c r="D1100" s="1" t="str">
        <f t="shared" si="30"/>
        <v/>
      </c>
    </row>
    <row r="1101" spans="4:4">
      <c r="D1101" s="1" t="str">
        <f t="shared" si="30"/>
        <v/>
      </c>
    </row>
    <row r="1102" spans="4:4">
      <c r="D1102" s="1" t="str">
        <f t="shared" si="30"/>
        <v/>
      </c>
    </row>
    <row r="1103" spans="4:4">
      <c r="D1103" s="1" t="str">
        <f t="shared" si="30"/>
        <v/>
      </c>
    </row>
    <row r="1104" spans="4:4">
      <c r="D1104" s="1" t="str">
        <f t="shared" si="30"/>
        <v/>
      </c>
    </row>
    <row r="1105" spans="4:4">
      <c r="D1105" s="1" t="str">
        <f t="shared" si="30"/>
        <v/>
      </c>
    </row>
    <row r="1106" spans="4:4">
      <c r="D1106" s="1" t="str">
        <f t="shared" si="30"/>
        <v/>
      </c>
    </row>
    <row r="1107" spans="4:4">
      <c r="D1107" s="1" t="str">
        <f t="shared" si="30"/>
        <v/>
      </c>
    </row>
    <row r="1108" spans="4:4">
      <c r="D1108" s="1" t="str">
        <f t="shared" si="30"/>
        <v/>
      </c>
    </row>
    <row r="1109" spans="4:4">
      <c r="D1109" s="1" t="str">
        <f t="shared" si="30"/>
        <v/>
      </c>
    </row>
    <row r="1110" spans="4:4">
      <c r="D1110" s="1" t="str">
        <f t="shared" si="30"/>
        <v/>
      </c>
    </row>
    <row r="1111" spans="4:4">
      <c r="D1111" s="1" t="str">
        <f t="shared" si="30"/>
        <v/>
      </c>
    </row>
    <row r="1112" spans="4:4">
      <c r="D1112" s="1" t="str">
        <f t="shared" si="30"/>
        <v/>
      </c>
    </row>
    <row r="1113" spans="4:4">
      <c r="D1113" s="1" t="str">
        <f t="shared" si="30"/>
        <v/>
      </c>
    </row>
    <row r="1114" spans="4:4">
      <c r="D1114" s="1" t="str">
        <f t="shared" si="30"/>
        <v/>
      </c>
    </row>
    <row r="1115" spans="4:4">
      <c r="D1115" s="1" t="str">
        <f t="shared" si="30"/>
        <v/>
      </c>
    </row>
    <row r="1116" spans="4:4">
      <c r="D1116" s="1" t="str">
        <f t="shared" si="30"/>
        <v/>
      </c>
    </row>
    <row r="1117" spans="4:4">
      <c r="D1117" s="1" t="str">
        <f t="shared" si="30"/>
        <v/>
      </c>
    </row>
    <row r="1118" spans="4:4">
      <c r="D1118" s="1" t="str">
        <f t="shared" si="30"/>
        <v/>
      </c>
    </row>
    <row r="1119" spans="4:4">
      <c r="D1119" s="1" t="str">
        <f t="shared" si="30"/>
        <v/>
      </c>
    </row>
    <row r="1120" spans="4:4">
      <c r="D1120" s="1" t="str">
        <f t="shared" si="30"/>
        <v/>
      </c>
    </row>
    <row r="1121" spans="4:4">
      <c r="D1121" s="1" t="str">
        <f t="shared" si="30"/>
        <v/>
      </c>
    </row>
    <row r="1122" spans="4:4">
      <c r="D1122" s="1" t="str">
        <f t="shared" si="30"/>
        <v/>
      </c>
    </row>
    <row r="1123" spans="4:4">
      <c r="D1123" s="1" t="str">
        <f t="shared" si="30"/>
        <v/>
      </c>
    </row>
    <row r="1124" spans="4:4">
      <c r="D1124" s="1" t="str">
        <f t="shared" si="30"/>
        <v/>
      </c>
    </row>
    <row r="1125" spans="4:4">
      <c r="D1125" s="1" t="str">
        <f t="shared" si="30"/>
        <v/>
      </c>
    </row>
    <row r="1126" spans="4:4">
      <c r="D1126" s="1" t="str">
        <f t="shared" si="30"/>
        <v/>
      </c>
    </row>
    <row r="1127" spans="4:4">
      <c r="D1127" s="1" t="str">
        <f t="shared" si="30"/>
        <v/>
      </c>
    </row>
    <row r="1128" spans="4:4">
      <c r="D1128" s="1" t="str">
        <f t="shared" si="30"/>
        <v/>
      </c>
    </row>
    <row r="1129" spans="4:4">
      <c r="D1129" s="1" t="str">
        <f t="shared" si="30"/>
        <v/>
      </c>
    </row>
    <row r="1130" spans="4:4">
      <c r="D1130" s="1" t="str">
        <f t="shared" si="30"/>
        <v/>
      </c>
    </row>
    <row r="1131" spans="4:4">
      <c r="D1131" s="1" t="str">
        <f t="shared" si="30"/>
        <v/>
      </c>
    </row>
    <row r="1132" spans="4:4">
      <c r="D1132" s="1" t="str">
        <f t="shared" si="30"/>
        <v/>
      </c>
    </row>
    <row r="1133" spans="4:4">
      <c r="D1133" s="1" t="str">
        <f t="shared" si="30"/>
        <v/>
      </c>
    </row>
    <row r="1134" spans="4:4">
      <c r="D1134" s="1" t="str">
        <f t="shared" si="30"/>
        <v/>
      </c>
    </row>
    <row r="1135" spans="4:4">
      <c r="D1135" s="1" t="str">
        <f t="shared" si="30"/>
        <v/>
      </c>
    </row>
    <row r="1136" spans="4:4">
      <c r="D1136" s="1" t="str">
        <f t="shared" si="30"/>
        <v/>
      </c>
    </row>
    <row r="1137" spans="4:4">
      <c r="D1137" s="1" t="str">
        <f t="shared" si="30"/>
        <v/>
      </c>
    </row>
    <row r="1138" spans="4:4">
      <c r="D1138" s="1" t="str">
        <f t="shared" si="30"/>
        <v/>
      </c>
    </row>
    <row r="1139" spans="4:4">
      <c r="D1139" s="1" t="str">
        <f t="shared" si="30"/>
        <v/>
      </c>
    </row>
    <row r="1140" spans="4:4">
      <c r="D1140" s="1" t="str">
        <f t="shared" si="30"/>
        <v/>
      </c>
    </row>
    <row r="1141" spans="4:4">
      <c r="D1141" s="1" t="str">
        <f t="shared" si="30"/>
        <v/>
      </c>
    </row>
    <row r="1142" spans="4:4">
      <c r="D1142" s="1" t="str">
        <f t="shared" si="30"/>
        <v/>
      </c>
    </row>
    <row r="1143" spans="4:4">
      <c r="D1143" s="1" t="str">
        <f t="shared" si="30"/>
        <v/>
      </c>
    </row>
    <row r="1144" spans="4:4">
      <c r="D1144" s="1" t="str">
        <f t="shared" si="30"/>
        <v/>
      </c>
    </row>
    <row r="1145" spans="4:4">
      <c r="D1145" s="1" t="str">
        <f t="shared" si="30"/>
        <v/>
      </c>
    </row>
    <row r="1146" spans="4:4">
      <c r="D1146" s="1" t="str">
        <f t="shared" si="30"/>
        <v/>
      </c>
    </row>
    <row r="1147" spans="4:4">
      <c r="D1147" s="1" t="str">
        <f t="shared" si="30"/>
        <v/>
      </c>
    </row>
    <row r="1148" spans="4:4">
      <c r="D1148" s="1" t="str">
        <f t="shared" si="30"/>
        <v/>
      </c>
    </row>
    <row r="1149" spans="4:4">
      <c r="D1149" s="1" t="str">
        <f t="shared" si="30"/>
        <v/>
      </c>
    </row>
    <row r="1150" spans="4:4">
      <c r="D1150" s="1" t="str">
        <f t="shared" si="30"/>
        <v/>
      </c>
    </row>
    <row r="1151" spans="4:4">
      <c r="D1151" s="1" t="str">
        <f t="shared" si="30"/>
        <v/>
      </c>
    </row>
    <row r="1152" spans="4:4">
      <c r="D1152" s="1" t="str">
        <f t="shared" si="30"/>
        <v/>
      </c>
    </row>
    <row r="1153" spans="4:4">
      <c r="D1153" s="1" t="str">
        <f t="shared" si="30"/>
        <v/>
      </c>
    </row>
    <row r="1154" spans="4:4">
      <c r="D1154" s="1" t="str">
        <f t="shared" si="30"/>
        <v/>
      </c>
    </row>
    <row r="1155" spans="4:4">
      <c r="D1155" s="1" t="str">
        <f t="shared" si="30"/>
        <v/>
      </c>
    </row>
    <row r="1156" spans="4:4">
      <c r="D1156" s="1" t="str">
        <f t="shared" si="30"/>
        <v/>
      </c>
    </row>
    <row r="1157" spans="4:4">
      <c r="D1157" s="1" t="str">
        <f t="shared" si="30"/>
        <v/>
      </c>
    </row>
    <row r="1158" spans="4:4">
      <c r="D1158" s="1" t="str">
        <f t="shared" si="30"/>
        <v/>
      </c>
    </row>
    <row r="1159" spans="4:4">
      <c r="D1159" s="1" t="str">
        <f t="shared" si="30"/>
        <v/>
      </c>
    </row>
    <row r="1160" spans="4:4">
      <c r="D1160" s="1" t="str">
        <f t="shared" si="30"/>
        <v/>
      </c>
    </row>
    <row r="1161" spans="4:4">
      <c r="D1161" s="1" t="str">
        <f t="shared" si="30"/>
        <v/>
      </c>
    </row>
    <row r="1162" spans="4:4">
      <c r="D1162" s="1" t="str">
        <f t="shared" si="30"/>
        <v/>
      </c>
    </row>
    <row r="1163" spans="4:4">
      <c r="D1163" s="1" t="str">
        <f t="shared" ref="D1163:D1226" si="31">IF(F1163&lt;&gt;"",RIGHT(F1163, LEN(F1163) - FIND(" - ", F1163) - 2),"")</f>
        <v/>
      </c>
    </row>
    <row r="1164" spans="4:4">
      <c r="D1164" s="1" t="str">
        <f t="shared" si="31"/>
        <v/>
      </c>
    </row>
    <row r="1165" spans="4:4">
      <c r="D1165" s="1" t="str">
        <f t="shared" si="31"/>
        <v/>
      </c>
    </row>
    <row r="1166" spans="4:4">
      <c r="D1166" s="1" t="str">
        <f t="shared" si="31"/>
        <v/>
      </c>
    </row>
    <row r="1167" spans="4:4">
      <c r="D1167" s="1" t="str">
        <f t="shared" si="31"/>
        <v/>
      </c>
    </row>
    <row r="1168" spans="4:4">
      <c r="D1168" s="1" t="str">
        <f t="shared" si="31"/>
        <v/>
      </c>
    </row>
    <row r="1169" spans="4:4">
      <c r="D1169" s="1" t="str">
        <f t="shared" si="31"/>
        <v/>
      </c>
    </row>
    <row r="1170" spans="4:4">
      <c r="D1170" s="1" t="str">
        <f t="shared" si="31"/>
        <v/>
      </c>
    </row>
    <row r="1171" spans="4:4">
      <c r="D1171" s="1" t="str">
        <f t="shared" si="31"/>
        <v/>
      </c>
    </row>
    <row r="1172" spans="4:4">
      <c r="D1172" s="1" t="str">
        <f t="shared" si="31"/>
        <v/>
      </c>
    </row>
    <row r="1173" spans="4:4">
      <c r="D1173" s="1" t="str">
        <f t="shared" si="31"/>
        <v/>
      </c>
    </row>
    <row r="1174" spans="4:4">
      <c r="D1174" s="1" t="str">
        <f t="shared" si="31"/>
        <v/>
      </c>
    </row>
    <row r="1175" spans="4:4">
      <c r="D1175" s="1" t="str">
        <f t="shared" si="31"/>
        <v/>
      </c>
    </row>
    <row r="1176" spans="4:4">
      <c r="D1176" s="1" t="str">
        <f t="shared" si="31"/>
        <v/>
      </c>
    </row>
    <row r="1177" spans="4:4">
      <c r="D1177" s="1" t="str">
        <f t="shared" si="31"/>
        <v/>
      </c>
    </row>
    <row r="1178" spans="4:4">
      <c r="D1178" s="1" t="str">
        <f t="shared" si="31"/>
        <v/>
      </c>
    </row>
    <row r="1179" spans="4:4">
      <c r="D1179" s="1" t="str">
        <f t="shared" si="31"/>
        <v/>
      </c>
    </row>
    <row r="1180" spans="4:4">
      <c r="D1180" s="1" t="str">
        <f t="shared" si="31"/>
        <v/>
      </c>
    </row>
    <row r="1181" spans="4:4">
      <c r="D1181" s="1" t="str">
        <f t="shared" si="31"/>
        <v/>
      </c>
    </row>
    <row r="1182" spans="4:4">
      <c r="D1182" s="1" t="str">
        <f t="shared" si="31"/>
        <v/>
      </c>
    </row>
    <row r="1183" spans="4:4">
      <c r="D1183" s="1" t="str">
        <f t="shared" si="31"/>
        <v/>
      </c>
    </row>
    <row r="1184" spans="4:4">
      <c r="D1184" s="1" t="str">
        <f t="shared" si="31"/>
        <v/>
      </c>
    </row>
    <row r="1185" spans="4:4">
      <c r="D1185" s="1" t="str">
        <f t="shared" si="31"/>
        <v/>
      </c>
    </row>
    <row r="1186" spans="4:4">
      <c r="D1186" s="1" t="str">
        <f t="shared" si="31"/>
        <v/>
      </c>
    </row>
    <row r="1187" spans="4:4">
      <c r="D1187" s="1" t="str">
        <f t="shared" si="31"/>
        <v/>
      </c>
    </row>
    <row r="1188" spans="4:4">
      <c r="D1188" s="1" t="str">
        <f t="shared" si="31"/>
        <v/>
      </c>
    </row>
    <row r="1189" spans="4:4">
      <c r="D1189" s="1" t="str">
        <f t="shared" si="31"/>
        <v/>
      </c>
    </row>
    <row r="1190" spans="4:4">
      <c r="D1190" s="1" t="str">
        <f t="shared" si="31"/>
        <v/>
      </c>
    </row>
    <row r="1191" spans="4:4">
      <c r="D1191" s="1" t="str">
        <f t="shared" si="31"/>
        <v/>
      </c>
    </row>
    <row r="1192" spans="4:4">
      <c r="D1192" s="1" t="str">
        <f t="shared" si="31"/>
        <v/>
      </c>
    </row>
    <row r="1193" spans="4:4">
      <c r="D1193" s="1" t="str">
        <f t="shared" si="31"/>
        <v/>
      </c>
    </row>
    <row r="1194" spans="4:4">
      <c r="D1194" s="1" t="str">
        <f t="shared" si="31"/>
        <v/>
      </c>
    </row>
    <row r="1195" spans="4:4">
      <c r="D1195" s="1" t="str">
        <f t="shared" si="31"/>
        <v/>
      </c>
    </row>
    <row r="1196" spans="4:4">
      <c r="D1196" s="1" t="str">
        <f t="shared" si="31"/>
        <v/>
      </c>
    </row>
    <row r="1197" spans="4:4">
      <c r="D1197" s="1" t="str">
        <f t="shared" si="31"/>
        <v/>
      </c>
    </row>
    <row r="1198" spans="4:4">
      <c r="D1198" s="1" t="str">
        <f t="shared" si="31"/>
        <v/>
      </c>
    </row>
    <row r="1199" spans="4:4">
      <c r="D1199" s="1" t="str">
        <f t="shared" si="31"/>
        <v/>
      </c>
    </row>
    <row r="1200" spans="4:4">
      <c r="D1200" s="1" t="str">
        <f t="shared" si="31"/>
        <v/>
      </c>
    </row>
    <row r="1201" spans="4:4">
      <c r="D1201" s="1" t="str">
        <f t="shared" si="31"/>
        <v/>
      </c>
    </row>
    <row r="1202" spans="4:4">
      <c r="D1202" s="1" t="str">
        <f t="shared" si="31"/>
        <v/>
      </c>
    </row>
    <row r="1203" spans="4:4">
      <c r="D1203" s="1" t="str">
        <f t="shared" si="31"/>
        <v/>
      </c>
    </row>
    <row r="1204" spans="4:4">
      <c r="D1204" s="1" t="str">
        <f t="shared" si="31"/>
        <v/>
      </c>
    </row>
    <row r="1205" spans="4:4">
      <c r="D1205" s="1" t="str">
        <f t="shared" si="31"/>
        <v/>
      </c>
    </row>
    <row r="1206" spans="4:4">
      <c r="D1206" s="1" t="str">
        <f t="shared" si="31"/>
        <v/>
      </c>
    </row>
    <row r="1207" spans="4:4">
      <c r="D1207" s="1" t="str">
        <f t="shared" si="31"/>
        <v/>
      </c>
    </row>
    <row r="1208" spans="4:4">
      <c r="D1208" s="1" t="str">
        <f t="shared" si="31"/>
        <v/>
      </c>
    </row>
    <row r="1209" spans="4:4">
      <c r="D1209" s="1" t="str">
        <f t="shared" si="31"/>
        <v/>
      </c>
    </row>
    <row r="1210" spans="4:4">
      <c r="D1210" s="1" t="str">
        <f t="shared" si="31"/>
        <v/>
      </c>
    </row>
    <row r="1211" spans="4:4">
      <c r="D1211" s="1" t="str">
        <f t="shared" si="31"/>
        <v/>
      </c>
    </row>
    <row r="1212" spans="4:4">
      <c r="D1212" s="1" t="str">
        <f t="shared" si="31"/>
        <v/>
      </c>
    </row>
    <row r="1213" spans="4:4">
      <c r="D1213" s="1" t="str">
        <f t="shared" si="31"/>
        <v/>
      </c>
    </row>
    <row r="1214" spans="4:4">
      <c r="D1214" s="1" t="str">
        <f t="shared" si="31"/>
        <v/>
      </c>
    </row>
    <row r="1215" spans="4:4">
      <c r="D1215" s="1" t="str">
        <f t="shared" si="31"/>
        <v/>
      </c>
    </row>
    <row r="1216" spans="4:4">
      <c r="D1216" s="1" t="str">
        <f t="shared" si="31"/>
        <v/>
      </c>
    </row>
    <row r="1217" spans="4:4">
      <c r="D1217" s="1" t="str">
        <f t="shared" si="31"/>
        <v/>
      </c>
    </row>
    <row r="1218" spans="4:4">
      <c r="D1218" s="1" t="str">
        <f t="shared" si="31"/>
        <v/>
      </c>
    </row>
    <row r="1219" spans="4:4">
      <c r="D1219" s="1" t="str">
        <f t="shared" si="31"/>
        <v/>
      </c>
    </row>
    <row r="1220" spans="4:4">
      <c r="D1220" s="1" t="str">
        <f t="shared" si="31"/>
        <v/>
      </c>
    </row>
    <row r="1221" spans="4:4">
      <c r="D1221" s="1" t="str">
        <f t="shared" si="31"/>
        <v/>
      </c>
    </row>
    <row r="1222" spans="4:4">
      <c r="D1222" s="1" t="str">
        <f t="shared" si="31"/>
        <v/>
      </c>
    </row>
    <row r="1223" spans="4:4">
      <c r="D1223" s="1" t="str">
        <f t="shared" si="31"/>
        <v/>
      </c>
    </row>
    <row r="1224" spans="4:4">
      <c r="D1224" s="1" t="str">
        <f t="shared" si="31"/>
        <v/>
      </c>
    </row>
    <row r="1225" spans="4:4">
      <c r="D1225" s="1" t="str">
        <f t="shared" si="31"/>
        <v/>
      </c>
    </row>
    <row r="1226" spans="4:4">
      <c r="D1226" s="1" t="str">
        <f t="shared" si="31"/>
        <v/>
      </c>
    </row>
    <row r="1227" spans="4:4">
      <c r="D1227" s="1" t="str">
        <f t="shared" ref="D1227:D1290" si="32">IF(F1227&lt;&gt;"",RIGHT(F1227, LEN(F1227) - FIND(" - ", F1227) - 2),"")</f>
        <v/>
      </c>
    </row>
    <row r="1228" spans="4:4">
      <c r="D1228" s="1" t="str">
        <f t="shared" si="32"/>
        <v/>
      </c>
    </row>
    <row r="1229" spans="4:4">
      <c r="D1229" s="1" t="str">
        <f t="shared" si="32"/>
        <v/>
      </c>
    </row>
    <row r="1230" spans="4:4">
      <c r="D1230" s="1" t="str">
        <f t="shared" si="32"/>
        <v/>
      </c>
    </row>
    <row r="1231" spans="4:4">
      <c r="D1231" s="1" t="str">
        <f t="shared" si="32"/>
        <v/>
      </c>
    </row>
    <row r="1232" spans="4:4">
      <c r="D1232" s="1" t="str">
        <f t="shared" si="32"/>
        <v/>
      </c>
    </row>
    <row r="1233" spans="4:4">
      <c r="D1233" s="1" t="str">
        <f t="shared" si="32"/>
        <v/>
      </c>
    </row>
    <row r="1234" spans="4:4">
      <c r="D1234" s="1" t="str">
        <f t="shared" si="32"/>
        <v/>
      </c>
    </row>
    <row r="1235" spans="4:4">
      <c r="D1235" s="1" t="str">
        <f t="shared" si="32"/>
        <v/>
      </c>
    </row>
    <row r="1236" spans="4:4">
      <c r="D1236" s="1" t="str">
        <f t="shared" si="32"/>
        <v/>
      </c>
    </row>
    <row r="1237" spans="4:4">
      <c r="D1237" s="1" t="str">
        <f t="shared" si="32"/>
        <v/>
      </c>
    </row>
    <row r="1238" spans="4:4">
      <c r="D1238" s="1" t="str">
        <f t="shared" si="32"/>
        <v/>
      </c>
    </row>
    <row r="1239" spans="4:4">
      <c r="D1239" s="1" t="str">
        <f t="shared" si="32"/>
        <v/>
      </c>
    </row>
    <row r="1240" spans="4:4">
      <c r="D1240" s="1" t="str">
        <f t="shared" si="32"/>
        <v/>
      </c>
    </row>
    <row r="1241" spans="4:4">
      <c r="D1241" s="1" t="str">
        <f t="shared" si="32"/>
        <v/>
      </c>
    </row>
    <row r="1242" spans="4:4">
      <c r="D1242" s="1" t="str">
        <f t="shared" si="32"/>
        <v/>
      </c>
    </row>
    <row r="1243" spans="4:4">
      <c r="D1243" s="1" t="str">
        <f t="shared" si="32"/>
        <v/>
      </c>
    </row>
    <row r="1244" spans="4:4">
      <c r="D1244" s="1" t="str">
        <f t="shared" si="32"/>
        <v/>
      </c>
    </row>
    <row r="1245" spans="4:4">
      <c r="D1245" s="1" t="str">
        <f t="shared" si="32"/>
        <v/>
      </c>
    </row>
    <row r="1246" spans="4:4">
      <c r="D1246" s="1" t="str">
        <f t="shared" si="32"/>
        <v/>
      </c>
    </row>
    <row r="1247" spans="4:4">
      <c r="D1247" s="1" t="str">
        <f t="shared" si="32"/>
        <v/>
      </c>
    </row>
    <row r="1248" spans="4:4">
      <c r="D1248" s="1" t="str">
        <f t="shared" si="32"/>
        <v/>
      </c>
    </row>
    <row r="1249" spans="4:4">
      <c r="D1249" s="1" t="str">
        <f t="shared" si="32"/>
        <v/>
      </c>
    </row>
    <row r="1250" spans="4:4">
      <c r="D1250" s="1" t="str">
        <f t="shared" si="32"/>
        <v/>
      </c>
    </row>
    <row r="1251" spans="4:4">
      <c r="D1251" s="1" t="str">
        <f t="shared" si="32"/>
        <v/>
      </c>
    </row>
    <row r="1252" spans="4:4">
      <c r="D1252" s="1" t="str">
        <f t="shared" si="32"/>
        <v/>
      </c>
    </row>
    <row r="1253" spans="4:4">
      <c r="D1253" s="1" t="str">
        <f t="shared" si="32"/>
        <v/>
      </c>
    </row>
    <row r="1254" spans="4:4">
      <c r="D1254" s="1" t="str">
        <f t="shared" si="32"/>
        <v/>
      </c>
    </row>
    <row r="1255" spans="4:4">
      <c r="D1255" s="1" t="str">
        <f t="shared" si="32"/>
        <v/>
      </c>
    </row>
    <row r="1256" spans="4:4">
      <c r="D1256" s="1" t="str">
        <f t="shared" si="32"/>
        <v/>
      </c>
    </row>
    <row r="1257" spans="4:4">
      <c r="D1257" s="1" t="str">
        <f t="shared" si="32"/>
        <v/>
      </c>
    </row>
    <row r="1258" spans="4:4">
      <c r="D1258" s="1" t="str">
        <f t="shared" si="32"/>
        <v/>
      </c>
    </row>
    <row r="1259" spans="4:4">
      <c r="D1259" s="1" t="str">
        <f t="shared" si="32"/>
        <v/>
      </c>
    </row>
    <row r="1260" spans="4:4">
      <c r="D1260" s="1" t="str">
        <f t="shared" si="32"/>
        <v/>
      </c>
    </row>
    <row r="1261" spans="4:4">
      <c r="D1261" s="1" t="str">
        <f t="shared" si="32"/>
        <v/>
      </c>
    </row>
    <row r="1262" spans="4:4">
      <c r="D1262" s="1" t="str">
        <f t="shared" si="32"/>
        <v/>
      </c>
    </row>
    <row r="1263" spans="4:4">
      <c r="D1263" s="1" t="str">
        <f t="shared" si="32"/>
        <v/>
      </c>
    </row>
    <row r="1264" spans="4:4">
      <c r="D1264" s="1" t="str">
        <f t="shared" si="32"/>
        <v/>
      </c>
    </row>
    <row r="1265" spans="4:4">
      <c r="D1265" s="1" t="str">
        <f t="shared" si="32"/>
        <v/>
      </c>
    </row>
    <row r="1266" spans="4:4">
      <c r="D1266" s="1" t="str">
        <f t="shared" si="32"/>
        <v/>
      </c>
    </row>
    <row r="1267" spans="4:4">
      <c r="D1267" s="1" t="str">
        <f t="shared" si="32"/>
        <v/>
      </c>
    </row>
    <row r="1268" spans="4:4">
      <c r="D1268" s="1" t="str">
        <f t="shared" si="32"/>
        <v/>
      </c>
    </row>
    <row r="1269" spans="4:4">
      <c r="D1269" s="1" t="str">
        <f t="shared" si="32"/>
        <v/>
      </c>
    </row>
    <row r="1270" spans="4:4">
      <c r="D1270" s="1" t="str">
        <f t="shared" si="32"/>
        <v/>
      </c>
    </row>
    <row r="1271" spans="4:4">
      <c r="D1271" s="1" t="str">
        <f t="shared" si="32"/>
        <v/>
      </c>
    </row>
    <row r="1272" spans="4:4">
      <c r="D1272" s="1" t="str">
        <f t="shared" si="32"/>
        <v/>
      </c>
    </row>
    <row r="1273" spans="4:4">
      <c r="D1273" s="1" t="str">
        <f t="shared" si="32"/>
        <v/>
      </c>
    </row>
    <row r="1274" spans="4:4">
      <c r="D1274" s="1" t="str">
        <f t="shared" si="32"/>
        <v/>
      </c>
    </row>
    <row r="1275" spans="4:4">
      <c r="D1275" s="1" t="str">
        <f t="shared" si="32"/>
        <v/>
      </c>
    </row>
    <row r="1276" spans="4:4">
      <c r="D1276" s="1" t="str">
        <f t="shared" si="32"/>
        <v/>
      </c>
    </row>
    <row r="1277" spans="4:4">
      <c r="D1277" s="1" t="str">
        <f t="shared" si="32"/>
        <v/>
      </c>
    </row>
    <row r="1278" spans="4:4">
      <c r="D1278" s="1" t="str">
        <f t="shared" si="32"/>
        <v/>
      </c>
    </row>
    <row r="1279" spans="4:4">
      <c r="D1279" s="1" t="str">
        <f t="shared" si="32"/>
        <v/>
      </c>
    </row>
    <row r="1280" spans="4:4">
      <c r="D1280" s="1" t="str">
        <f t="shared" si="32"/>
        <v/>
      </c>
    </row>
    <row r="1281" spans="4:4">
      <c r="D1281" s="1" t="str">
        <f t="shared" si="32"/>
        <v/>
      </c>
    </row>
    <row r="1282" spans="4:4">
      <c r="D1282" s="1" t="str">
        <f t="shared" si="32"/>
        <v/>
      </c>
    </row>
    <row r="1283" spans="4:4">
      <c r="D1283" s="1" t="str">
        <f t="shared" si="32"/>
        <v/>
      </c>
    </row>
    <row r="1284" spans="4:4">
      <c r="D1284" s="1" t="str">
        <f t="shared" si="32"/>
        <v/>
      </c>
    </row>
    <row r="1285" spans="4:4">
      <c r="D1285" s="1" t="str">
        <f t="shared" si="32"/>
        <v/>
      </c>
    </row>
    <row r="1286" spans="4:4">
      <c r="D1286" s="1" t="str">
        <f t="shared" si="32"/>
        <v/>
      </c>
    </row>
    <row r="1287" spans="4:4">
      <c r="D1287" s="1" t="str">
        <f t="shared" si="32"/>
        <v/>
      </c>
    </row>
    <row r="1288" spans="4:4">
      <c r="D1288" s="1" t="str">
        <f t="shared" si="32"/>
        <v/>
      </c>
    </row>
    <row r="1289" spans="4:4">
      <c r="D1289" s="1" t="str">
        <f t="shared" si="32"/>
        <v/>
      </c>
    </row>
    <row r="1290" spans="4:4">
      <c r="D1290" s="1" t="str">
        <f t="shared" si="32"/>
        <v/>
      </c>
    </row>
    <row r="1291" spans="4:4">
      <c r="D1291" s="1" t="str">
        <f t="shared" ref="D1291:D1354" si="33">IF(F1291&lt;&gt;"",RIGHT(F1291, LEN(F1291) - FIND(" - ", F1291) - 2),"")</f>
        <v/>
      </c>
    </row>
    <row r="1292" spans="4:4">
      <c r="D1292" s="1" t="str">
        <f t="shared" si="33"/>
        <v/>
      </c>
    </row>
    <row r="1293" spans="4:4">
      <c r="D1293" s="1" t="str">
        <f t="shared" si="33"/>
        <v/>
      </c>
    </row>
    <row r="1294" spans="4:4">
      <c r="D1294" s="1" t="str">
        <f t="shared" si="33"/>
        <v/>
      </c>
    </row>
    <row r="1295" spans="4:4">
      <c r="D1295" s="1" t="str">
        <f t="shared" si="33"/>
        <v/>
      </c>
    </row>
    <row r="1296" spans="4:4">
      <c r="D1296" s="1" t="str">
        <f t="shared" si="33"/>
        <v/>
      </c>
    </row>
    <row r="1297" spans="4:4">
      <c r="D1297" s="1" t="str">
        <f t="shared" si="33"/>
        <v/>
      </c>
    </row>
    <row r="1298" spans="4:4">
      <c r="D1298" s="1" t="str">
        <f t="shared" si="33"/>
        <v/>
      </c>
    </row>
    <row r="1299" spans="4:4">
      <c r="D1299" s="1" t="str">
        <f t="shared" si="33"/>
        <v/>
      </c>
    </row>
    <row r="1300" spans="4:4">
      <c r="D1300" s="1" t="str">
        <f t="shared" si="33"/>
        <v/>
      </c>
    </row>
    <row r="1301" spans="4:4">
      <c r="D1301" s="1" t="str">
        <f t="shared" si="33"/>
        <v/>
      </c>
    </row>
    <row r="1302" spans="4:4">
      <c r="D1302" s="1" t="str">
        <f t="shared" si="33"/>
        <v/>
      </c>
    </row>
    <row r="1303" spans="4:4">
      <c r="D1303" s="1" t="str">
        <f t="shared" si="33"/>
        <v/>
      </c>
    </row>
    <row r="1304" spans="4:4">
      <c r="D1304" s="1" t="str">
        <f t="shared" si="33"/>
        <v/>
      </c>
    </row>
    <row r="1305" spans="4:4">
      <c r="D1305" s="1" t="str">
        <f t="shared" si="33"/>
        <v/>
      </c>
    </row>
    <row r="1306" spans="4:4">
      <c r="D1306" s="1" t="str">
        <f t="shared" si="33"/>
        <v/>
      </c>
    </row>
    <row r="1307" spans="4:4">
      <c r="D1307" s="1" t="str">
        <f t="shared" si="33"/>
        <v/>
      </c>
    </row>
    <row r="1308" spans="4:4">
      <c r="D1308" s="1" t="str">
        <f t="shared" si="33"/>
        <v/>
      </c>
    </row>
    <row r="1309" spans="4:4">
      <c r="D1309" s="1" t="str">
        <f t="shared" si="33"/>
        <v/>
      </c>
    </row>
    <row r="1310" spans="4:4">
      <c r="D1310" s="1" t="str">
        <f t="shared" si="33"/>
        <v/>
      </c>
    </row>
    <row r="1311" spans="4:4">
      <c r="D1311" s="1" t="str">
        <f t="shared" si="33"/>
        <v/>
      </c>
    </row>
    <row r="1312" spans="4:4">
      <c r="D1312" s="1" t="str">
        <f t="shared" si="33"/>
        <v/>
      </c>
    </row>
    <row r="1313" spans="4:4">
      <c r="D1313" s="1" t="str">
        <f t="shared" si="33"/>
        <v/>
      </c>
    </row>
    <row r="1314" spans="4:4">
      <c r="D1314" s="1" t="str">
        <f t="shared" si="33"/>
        <v/>
      </c>
    </row>
    <row r="1315" spans="4:4">
      <c r="D1315" s="1" t="str">
        <f t="shared" si="33"/>
        <v/>
      </c>
    </row>
    <row r="1316" spans="4:4">
      <c r="D1316" s="1" t="str">
        <f t="shared" si="33"/>
        <v/>
      </c>
    </row>
    <row r="1317" spans="4:4">
      <c r="D1317" s="1" t="str">
        <f t="shared" si="33"/>
        <v/>
      </c>
    </row>
    <row r="1318" spans="4:4">
      <c r="D1318" s="1" t="str">
        <f t="shared" si="33"/>
        <v/>
      </c>
    </row>
    <row r="1319" spans="4:4">
      <c r="D1319" s="1" t="str">
        <f t="shared" si="33"/>
        <v/>
      </c>
    </row>
    <row r="1320" spans="4:4">
      <c r="D1320" s="1" t="str">
        <f t="shared" si="33"/>
        <v/>
      </c>
    </row>
    <row r="1321" spans="4:4">
      <c r="D1321" s="1" t="str">
        <f t="shared" si="33"/>
        <v/>
      </c>
    </row>
    <row r="1322" spans="4:4">
      <c r="D1322" s="1" t="str">
        <f t="shared" si="33"/>
        <v/>
      </c>
    </row>
    <row r="1323" spans="4:4">
      <c r="D1323" s="1" t="str">
        <f t="shared" si="33"/>
        <v/>
      </c>
    </row>
    <row r="1324" spans="4:4">
      <c r="D1324" s="1" t="str">
        <f t="shared" si="33"/>
        <v/>
      </c>
    </row>
    <row r="1325" spans="4:4">
      <c r="D1325" s="1" t="str">
        <f t="shared" si="33"/>
        <v/>
      </c>
    </row>
    <row r="1326" spans="4:4">
      <c r="D1326" s="1" t="str">
        <f t="shared" si="33"/>
        <v/>
      </c>
    </row>
    <row r="1327" spans="4:4">
      <c r="D1327" s="1" t="str">
        <f t="shared" si="33"/>
        <v/>
      </c>
    </row>
    <row r="1328" spans="4:4">
      <c r="D1328" s="1" t="str">
        <f t="shared" si="33"/>
        <v/>
      </c>
    </row>
    <row r="1329" spans="4:4">
      <c r="D1329" s="1" t="str">
        <f t="shared" si="33"/>
        <v/>
      </c>
    </row>
    <row r="1330" spans="4:4">
      <c r="D1330" s="1" t="str">
        <f t="shared" si="33"/>
        <v/>
      </c>
    </row>
    <row r="1331" spans="4:4">
      <c r="D1331" s="1" t="str">
        <f t="shared" si="33"/>
        <v/>
      </c>
    </row>
    <row r="1332" spans="4:4">
      <c r="D1332" s="1" t="str">
        <f t="shared" si="33"/>
        <v/>
      </c>
    </row>
    <row r="1333" spans="4:4">
      <c r="D1333" s="1" t="str">
        <f t="shared" si="33"/>
        <v/>
      </c>
    </row>
    <row r="1334" spans="4:4">
      <c r="D1334" s="1" t="str">
        <f t="shared" si="33"/>
        <v/>
      </c>
    </row>
    <row r="1335" spans="4:4">
      <c r="D1335" s="1" t="str">
        <f t="shared" si="33"/>
        <v/>
      </c>
    </row>
    <row r="1336" spans="4:4">
      <c r="D1336" s="1" t="str">
        <f t="shared" si="33"/>
        <v/>
      </c>
    </row>
    <row r="1337" spans="4:4">
      <c r="D1337" s="1" t="str">
        <f t="shared" si="33"/>
        <v/>
      </c>
    </row>
    <row r="1338" spans="4:4">
      <c r="D1338" s="1" t="str">
        <f t="shared" si="33"/>
        <v/>
      </c>
    </row>
    <row r="1339" spans="4:4">
      <c r="D1339" s="1" t="str">
        <f t="shared" si="33"/>
        <v/>
      </c>
    </row>
    <row r="1340" spans="4:4">
      <c r="D1340" s="1" t="str">
        <f t="shared" si="33"/>
        <v/>
      </c>
    </row>
    <row r="1341" spans="4:4">
      <c r="D1341" s="1" t="str">
        <f t="shared" si="33"/>
        <v/>
      </c>
    </row>
    <row r="1342" spans="4:4">
      <c r="D1342" s="1" t="str">
        <f t="shared" si="33"/>
        <v/>
      </c>
    </row>
    <row r="1343" spans="4:4">
      <c r="D1343" s="1" t="str">
        <f t="shared" si="33"/>
        <v/>
      </c>
    </row>
    <row r="1344" spans="4:4">
      <c r="D1344" s="1" t="str">
        <f t="shared" si="33"/>
        <v/>
      </c>
    </row>
    <row r="1345" spans="4:4">
      <c r="D1345" s="1" t="str">
        <f t="shared" si="33"/>
        <v/>
      </c>
    </row>
    <row r="1346" spans="4:4">
      <c r="D1346" s="1" t="str">
        <f t="shared" si="33"/>
        <v/>
      </c>
    </row>
    <row r="1347" spans="4:4">
      <c r="D1347" s="1" t="str">
        <f t="shared" si="33"/>
        <v/>
      </c>
    </row>
    <row r="1348" spans="4:4">
      <c r="D1348" s="1" t="str">
        <f t="shared" si="33"/>
        <v/>
      </c>
    </row>
    <row r="1349" spans="4:4">
      <c r="D1349" s="1" t="str">
        <f t="shared" si="33"/>
        <v/>
      </c>
    </row>
    <row r="1350" spans="4:4">
      <c r="D1350" s="1" t="str">
        <f t="shared" si="33"/>
        <v/>
      </c>
    </row>
    <row r="1351" spans="4:4">
      <c r="D1351" s="1" t="str">
        <f t="shared" si="33"/>
        <v/>
      </c>
    </row>
    <row r="1352" spans="4:4">
      <c r="D1352" s="1" t="str">
        <f t="shared" si="33"/>
        <v/>
      </c>
    </row>
    <row r="1353" spans="4:4">
      <c r="D1353" s="1" t="str">
        <f t="shared" si="33"/>
        <v/>
      </c>
    </row>
    <row r="1354" spans="4:4">
      <c r="D1354" s="1" t="str">
        <f t="shared" si="33"/>
        <v/>
      </c>
    </row>
    <row r="1355" spans="4:4">
      <c r="D1355" s="1" t="str">
        <f t="shared" ref="D1355:D1418" si="34">IF(F1355&lt;&gt;"",RIGHT(F1355, LEN(F1355) - FIND(" - ", F1355) - 2),"")</f>
        <v/>
      </c>
    </row>
    <row r="1356" spans="4:4">
      <c r="D1356" s="1" t="str">
        <f t="shared" si="34"/>
        <v/>
      </c>
    </row>
    <row r="1357" spans="4:4">
      <c r="D1357" s="1" t="str">
        <f t="shared" si="34"/>
        <v/>
      </c>
    </row>
    <row r="1358" spans="4:4">
      <c r="D1358" s="1" t="str">
        <f t="shared" si="34"/>
        <v/>
      </c>
    </row>
    <row r="1359" spans="4:4">
      <c r="D1359" s="1" t="str">
        <f t="shared" si="34"/>
        <v/>
      </c>
    </row>
    <row r="1360" spans="4:4">
      <c r="D1360" s="1" t="str">
        <f t="shared" si="34"/>
        <v/>
      </c>
    </row>
    <row r="1361" spans="4:4">
      <c r="D1361" s="1" t="str">
        <f t="shared" si="34"/>
        <v/>
      </c>
    </row>
    <row r="1362" spans="4:4">
      <c r="D1362" s="1" t="str">
        <f t="shared" si="34"/>
        <v/>
      </c>
    </row>
    <row r="1363" spans="4:4">
      <c r="D1363" s="1" t="str">
        <f t="shared" si="34"/>
        <v/>
      </c>
    </row>
    <row r="1364" spans="4:4">
      <c r="D1364" s="1" t="str">
        <f t="shared" si="34"/>
        <v/>
      </c>
    </row>
    <row r="1365" spans="4:4">
      <c r="D1365" s="1" t="str">
        <f t="shared" si="34"/>
        <v/>
      </c>
    </row>
    <row r="1366" spans="4:4">
      <c r="D1366" s="1" t="str">
        <f t="shared" si="34"/>
        <v/>
      </c>
    </row>
    <row r="1367" spans="4:4">
      <c r="D1367" s="1" t="str">
        <f t="shared" si="34"/>
        <v/>
      </c>
    </row>
    <row r="1368" spans="4:4">
      <c r="D1368" s="1" t="str">
        <f t="shared" si="34"/>
        <v/>
      </c>
    </row>
    <row r="1369" spans="4:4">
      <c r="D1369" s="1" t="str">
        <f t="shared" si="34"/>
        <v/>
      </c>
    </row>
    <row r="1370" spans="4:4">
      <c r="D1370" s="1" t="str">
        <f t="shared" si="34"/>
        <v/>
      </c>
    </row>
    <row r="1371" spans="4:4">
      <c r="D1371" s="1" t="str">
        <f t="shared" si="34"/>
        <v/>
      </c>
    </row>
    <row r="1372" spans="4:4">
      <c r="D1372" s="1" t="str">
        <f t="shared" si="34"/>
        <v/>
      </c>
    </row>
    <row r="1373" spans="4:4">
      <c r="D1373" s="1" t="str">
        <f t="shared" si="34"/>
        <v/>
      </c>
    </row>
    <row r="1374" spans="4:4">
      <c r="D1374" s="1" t="str">
        <f t="shared" si="34"/>
        <v/>
      </c>
    </row>
    <row r="1375" spans="4:4">
      <c r="D1375" s="1" t="str">
        <f t="shared" si="34"/>
        <v/>
      </c>
    </row>
    <row r="1376" spans="4:4">
      <c r="D1376" s="1" t="str">
        <f t="shared" si="34"/>
        <v/>
      </c>
    </row>
    <row r="1377" spans="4:4">
      <c r="D1377" s="1" t="str">
        <f t="shared" si="34"/>
        <v/>
      </c>
    </row>
    <row r="1378" spans="4:4">
      <c r="D1378" s="1" t="str">
        <f t="shared" si="34"/>
        <v/>
      </c>
    </row>
    <row r="1379" spans="4:4">
      <c r="D1379" s="1" t="str">
        <f t="shared" si="34"/>
        <v/>
      </c>
    </row>
    <row r="1380" spans="4:4">
      <c r="D1380" s="1" t="str">
        <f t="shared" si="34"/>
        <v/>
      </c>
    </row>
    <row r="1381" spans="4:4">
      <c r="D1381" s="1" t="str">
        <f t="shared" si="34"/>
        <v/>
      </c>
    </row>
    <row r="1382" spans="4:4">
      <c r="D1382" s="1" t="str">
        <f t="shared" si="34"/>
        <v/>
      </c>
    </row>
    <row r="1383" spans="4:4">
      <c r="D1383" s="1" t="str">
        <f t="shared" si="34"/>
        <v/>
      </c>
    </row>
    <row r="1384" spans="4:4">
      <c r="D1384" s="1" t="str">
        <f t="shared" si="34"/>
        <v/>
      </c>
    </row>
    <row r="1385" spans="4:4">
      <c r="D1385" s="1" t="str">
        <f t="shared" si="34"/>
        <v/>
      </c>
    </row>
    <row r="1386" spans="4:4">
      <c r="D1386" s="1" t="str">
        <f t="shared" si="34"/>
        <v/>
      </c>
    </row>
    <row r="1387" spans="4:4">
      <c r="D1387" s="1" t="str">
        <f t="shared" si="34"/>
        <v/>
      </c>
    </row>
    <row r="1388" spans="4:4">
      <c r="D1388" s="1" t="str">
        <f t="shared" si="34"/>
        <v/>
      </c>
    </row>
    <row r="1389" spans="4:4">
      <c r="D1389" s="1" t="str">
        <f t="shared" si="34"/>
        <v/>
      </c>
    </row>
    <row r="1390" spans="4:4">
      <c r="D1390" s="1" t="str">
        <f t="shared" si="34"/>
        <v/>
      </c>
    </row>
    <row r="1391" spans="4:4">
      <c r="D1391" s="1" t="str">
        <f t="shared" si="34"/>
        <v/>
      </c>
    </row>
    <row r="1392" spans="4:4">
      <c r="D1392" s="1" t="str">
        <f t="shared" si="34"/>
        <v/>
      </c>
    </row>
    <row r="1393" spans="4:4">
      <c r="D1393" s="1" t="str">
        <f t="shared" si="34"/>
        <v/>
      </c>
    </row>
    <row r="1394" spans="4:4">
      <c r="D1394" s="1" t="str">
        <f t="shared" si="34"/>
        <v/>
      </c>
    </row>
    <row r="1395" spans="4:4">
      <c r="D1395" s="1" t="str">
        <f t="shared" si="34"/>
        <v/>
      </c>
    </row>
    <row r="1396" spans="4:4">
      <c r="D1396" s="1" t="str">
        <f t="shared" si="34"/>
        <v/>
      </c>
    </row>
    <row r="1397" spans="4:4">
      <c r="D1397" s="1" t="str">
        <f t="shared" si="34"/>
        <v/>
      </c>
    </row>
    <row r="1398" spans="4:4">
      <c r="D1398" s="1" t="str">
        <f t="shared" si="34"/>
        <v/>
      </c>
    </row>
    <row r="1399" spans="4:4">
      <c r="D1399" s="1" t="str">
        <f t="shared" si="34"/>
        <v/>
      </c>
    </row>
    <row r="1400" spans="4:4">
      <c r="D1400" s="1" t="str">
        <f t="shared" si="34"/>
        <v/>
      </c>
    </row>
    <row r="1401" spans="4:4">
      <c r="D1401" s="1" t="str">
        <f t="shared" si="34"/>
        <v/>
      </c>
    </row>
    <row r="1402" spans="4:4">
      <c r="D1402" s="1" t="str">
        <f t="shared" si="34"/>
        <v/>
      </c>
    </row>
    <row r="1403" spans="4:4">
      <c r="D1403" s="1" t="str">
        <f t="shared" si="34"/>
        <v/>
      </c>
    </row>
    <row r="1404" spans="4:4">
      <c r="D1404" s="1" t="str">
        <f t="shared" si="34"/>
        <v/>
      </c>
    </row>
    <row r="1405" spans="4:4">
      <c r="D1405" s="1" t="str">
        <f t="shared" si="34"/>
        <v/>
      </c>
    </row>
    <row r="1406" spans="4:4">
      <c r="D1406" s="1" t="str">
        <f t="shared" si="34"/>
        <v/>
      </c>
    </row>
    <row r="1407" spans="4:4">
      <c r="D1407" s="1" t="str">
        <f t="shared" si="34"/>
        <v/>
      </c>
    </row>
    <row r="1408" spans="4:4">
      <c r="D1408" s="1" t="str">
        <f t="shared" si="34"/>
        <v/>
      </c>
    </row>
    <row r="1409" spans="4:4">
      <c r="D1409" s="1" t="str">
        <f t="shared" si="34"/>
        <v/>
      </c>
    </row>
    <row r="1410" spans="4:4">
      <c r="D1410" s="1" t="str">
        <f t="shared" si="34"/>
        <v/>
      </c>
    </row>
    <row r="1411" spans="4:4">
      <c r="D1411" s="1" t="str">
        <f t="shared" si="34"/>
        <v/>
      </c>
    </row>
    <row r="1412" spans="4:4">
      <c r="D1412" s="1" t="str">
        <f t="shared" si="34"/>
        <v/>
      </c>
    </row>
    <row r="1413" spans="4:4">
      <c r="D1413" s="1" t="str">
        <f t="shared" si="34"/>
        <v/>
      </c>
    </row>
    <row r="1414" spans="4:4">
      <c r="D1414" s="1" t="str">
        <f t="shared" si="34"/>
        <v/>
      </c>
    </row>
    <row r="1415" spans="4:4">
      <c r="D1415" s="1" t="str">
        <f t="shared" si="34"/>
        <v/>
      </c>
    </row>
    <row r="1416" spans="4:4">
      <c r="D1416" s="1" t="str">
        <f t="shared" si="34"/>
        <v/>
      </c>
    </row>
    <row r="1417" spans="4:4">
      <c r="D1417" s="1" t="str">
        <f t="shared" si="34"/>
        <v/>
      </c>
    </row>
    <row r="1418" spans="4:4">
      <c r="D1418" s="1" t="str">
        <f t="shared" si="34"/>
        <v/>
      </c>
    </row>
    <row r="1419" spans="4:4">
      <c r="D1419" s="1" t="str">
        <f t="shared" ref="D1419:D1482" si="35">IF(F1419&lt;&gt;"",RIGHT(F1419, LEN(F1419) - FIND(" - ", F1419) - 2),"")</f>
        <v/>
      </c>
    </row>
    <row r="1420" spans="4:4">
      <c r="D1420" s="1" t="str">
        <f t="shared" si="35"/>
        <v/>
      </c>
    </row>
    <row r="1421" spans="4:4">
      <c r="D1421" s="1" t="str">
        <f t="shared" si="35"/>
        <v/>
      </c>
    </row>
    <row r="1422" spans="4:4">
      <c r="D1422" s="1" t="str">
        <f t="shared" si="35"/>
        <v/>
      </c>
    </row>
    <row r="1423" spans="4:4">
      <c r="D1423" s="1" t="str">
        <f t="shared" si="35"/>
        <v/>
      </c>
    </row>
    <row r="1424" spans="4:4">
      <c r="D1424" s="1" t="str">
        <f t="shared" si="35"/>
        <v/>
      </c>
    </row>
    <row r="1425" spans="4:4">
      <c r="D1425" s="1" t="str">
        <f t="shared" si="35"/>
        <v/>
      </c>
    </row>
    <row r="1426" spans="4:4">
      <c r="D1426" s="1" t="str">
        <f t="shared" si="35"/>
        <v/>
      </c>
    </row>
    <row r="1427" spans="4:4">
      <c r="D1427" s="1" t="str">
        <f t="shared" si="35"/>
        <v/>
      </c>
    </row>
    <row r="1428" spans="4:4">
      <c r="D1428" s="1" t="str">
        <f t="shared" si="35"/>
        <v/>
      </c>
    </row>
    <row r="1429" spans="4:4">
      <c r="D1429" s="1" t="str">
        <f t="shared" si="35"/>
        <v/>
      </c>
    </row>
    <row r="1430" spans="4:4">
      <c r="D1430" s="1" t="str">
        <f t="shared" si="35"/>
        <v/>
      </c>
    </row>
    <row r="1431" spans="4:4">
      <c r="D1431" s="1" t="str">
        <f t="shared" si="35"/>
        <v/>
      </c>
    </row>
    <row r="1432" spans="4:4">
      <c r="D1432" s="1" t="str">
        <f t="shared" si="35"/>
        <v/>
      </c>
    </row>
    <row r="1433" spans="4:4">
      <c r="D1433" s="1" t="str">
        <f t="shared" si="35"/>
        <v/>
      </c>
    </row>
    <row r="1434" spans="4:4">
      <c r="D1434" s="1" t="str">
        <f t="shared" si="35"/>
        <v/>
      </c>
    </row>
    <row r="1435" spans="4:4">
      <c r="D1435" s="1" t="str">
        <f t="shared" si="35"/>
        <v/>
      </c>
    </row>
    <row r="1436" spans="4:4">
      <c r="D1436" s="1" t="str">
        <f t="shared" si="35"/>
        <v/>
      </c>
    </row>
    <row r="1437" spans="4:4">
      <c r="D1437" s="1" t="str">
        <f t="shared" si="35"/>
        <v/>
      </c>
    </row>
    <row r="1438" spans="4:4">
      <c r="D1438" s="1" t="str">
        <f t="shared" si="35"/>
        <v/>
      </c>
    </row>
    <row r="1439" spans="4:4">
      <c r="D1439" s="1" t="str">
        <f t="shared" si="35"/>
        <v/>
      </c>
    </row>
    <row r="1440" spans="4:4">
      <c r="D1440" s="1" t="str">
        <f t="shared" si="35"/>
        <v/>
      </c>
    </row>
    <row r="1441" spans="4:4">
      <c r="D1441" s="1" t="str">
        <f t="shared" si="35"/>
        <v/>
      </c>
    </row>
    <row r="1442" spans="4:4">
      <c r="D1442" s="1" t="str">
        <f t="shared" si="35"/>
        <v/>
      </c>
    </row>
    <row r="1443" spans="4:4">
      <c r="D1443" s="1" t="str">
        <f t="shared" si="35"/>
        <v/>
      </c>
    </row>
    <row r="1444" spans="4:4">
      <c r="D1444" s="1" t="str">
        <f t="shared" si="35"/>
        <v/>
      </c>
    </row>
    <row r="1445" spans="4:4">
      <c r="D1445" s="1" t="str">
        <f t="shared" si="35"/>
        <v/>
      </c>
    </row>
    <row r="1446" spans="4:4">
      <c r="D1446" s="1" t="str">
        <f t="shared" si="35"/>
        <v/>
      </c>
    </row>
    <row r="1447" spans="4:4">
      <c r="D1447" s="1" t="str">
        <f t="shared" si="35"/>
        <v/>
      </c>
    </row>
    <row r="1448" spans="4:4">
      <c r="D1448" s="1" t="str">
        <f t="shared" si="35"/>
        <v/>
      </c>
    </row>
    <row r="1449" spans="4:4">
      <c r="D1449" s="1" t="str">
        <f t="shared" si="35"/>
        <v/>
      </c>
    </row>
    <row r="1450" spans="4:4">
      <c r="D1450" s="1" t="str">
        <f t="shared" si="35"/>
        <v/>
      </c>
    </row>
    <row r="1451" spans="4:4">
      <c r="D1451" s="1" t="str">
        <f t="shared" si="35"/>
        <v/>
      </c>
    </row>
    <row r="1452" spans="4:4">
      <c r="D1452" s="1" t="str">
        <f t="shared" si="35"/>
        <v/>
      </c>
    </row>
    <row r="1453" spans="4:4">
      <c r="D1453" s="1" t="str">
        <f t="shared" si="35"/>
        <v/>
      </c>
    </row>
    <row r="1454" spans="4:4">
      <c r="D1454" s="1" t="str">
        <f t="shared" si="35"/>
        <v/>
      </c>
    </row>
    <row r="1455" spans="4:4">
      <c r="D1455" s="1" t="str">
        <f t="shared" si="35"/>
        <v/>
      </c>
    </row>
    <row r="1456" spans="4:4">
      <c r="D1456" s="1" t="str">
        <f t="shared" si="35"/>
        <v/>
      </c>
    </row>
    <row r="1457" spans="4:4">
      <c r="D1457" s="1" t="str">
        <f t="shared" si="35"/>
        <v/>
      </c>
    </row>
    <row r="1458" spans="4:4">
      <c r="D1458" s="1" t="str">
        <f t="shared" si="35"/>
        <v/>
      </c>
    </row>
    <row r="1459" spans="4:4">
      <c r="D1459" s="1" t="str">
        <f t="shared" si="35"/>
        <v/>
      </c>
    </row>
    <row r="1460" spans="4:4">
      <c r="D1460" s="1" t="str">
        <f t="shared" si="35"/>
        <v/>
      </c>
    </row>
    <row r="1461" spans="4:4">
      <c r="D1461" s="1" t="str">
        <f t="shared" si="35"/>
        <v/>
      </c>
    </row>
    <row r="1462" spans="4:4">
      <c r="D1462" s="1" t="str">
        <f t="shared" si="35"/>
        <v/>
      </c>
    </row>
    <row r="1463" spans="4:4">
      <c r="D1463" s="1" t="str">
        <f t="shared" si="35"/>
        <v/>
      </c>
    </row>
    <row r="1464" spans="4:4">
      <c r="D1464" s="1" t="str">
        <f t="shared" si="35"/>
        <v/>
      </c>
    </row>
    <row r="1465" spans="4:4">
      <c r="D1465" s="1" t="str">
        <f t="shared" si="35"/>
        <v/>
      </c>
    </row>
    <row r="1466" spans="4:4">
      <c r="D1466" s="1" t="str">
        <f t="shared" si="35"/>
        <v/>
      </c>
    </row>
    <row r="1467" spans="4:4">
      <c r="D1467" s="1" t="str">
        <f t="shared" si="35"/>
        <v/>
      </c>
    </row>
    <row r="1468" spans="4:4">
      <c r="D1468" s="1" t="str">
        <f t="shared" si="35"/>
        <v/>
      </c>
    </row>
    <row r="1469" spans="4:4">
      <c r="D1469" s="1" t="str">
        <f t="shared" si="35"/>
        <v/>
      </c>
    </row>
    <row r="1470" spans="4:4">
      <c r="D1470" s="1" t="str">
        <f t="shared" si="35"/>
        <v/>
      </c>
    </row>
    <row r="1471" spans="4:4">
      <c r="D1471" s="1" t="str">
        <f t="shared" si="35"/>
        <v/>
      </c>
    </row>
    <row r="1472" spans="4:4">
      <c r="D1472" s="1" t="str">
        <f t="shared" si="35"/>
        <v/>
      </c>
    </row>
    <row r="1473" spans="4:4">
      <c r="D1473" s="1" t="str">
        <f t="shared" si="35"/>
        <v/>
      </c>
    </row>
    <row r="1474" spans="4:4">
      <c r="D1474" s="1" t="str">
        <f t="shared" si="35"/>
        <v/>
      </c>
    </row>
    <row r="1475" spans="4:4">
      <c r="D1475" s="1" t="str">
        <f t="shared" si="35"/>
        <v/>
      </c>
    </row>
    <row r="1476" spans="4:4">
      <c r="D1476" s="1" t="str">
        <f t="shared" si="35"/>
        <v/>
      </c>
    </row>
    <row r="1477" spans="4:4">
      <c r="D1477" s="1" t="str">
        <f t="shared" si="35"/>
        <v/>
      </c>
    </row>
    <row r="1478" spans="4:4">
      <c r="D1478" s="1" t="str">
        <f t="shared" si="35"/>
        <v/>
      </c>
    </row>
    <row r="1479" spans="4:4">
      <c r="D1479" s="1" t="str">
        <f t="shared" si="35"/>
        <v/>
      </c>
    </row>
    <row r="1480" spans="4:4">
      <c r="D1480" s="1" t="str">
        <f t="shared" si="35"/>
        <v/>
      </c>
    </row>
    <row r="1481" spans="4:4">
      <c r="D1481" s="1" t="str">
        <f t="shared" si="35"/>
        <v/>
      </c>
    </row>
    <row r="1482" spans="4:4">
      <c r="D1482" s="1" t="str">
        <f t="shared" si="35"/>
        <v/>
      </c>
    </row>
    <row r="1483" spans="4:4">
      <c r="D1483" s="1" t="str">
        <f t="shared" ref="D1483:D1546" si="36">IF(F1483&lt;&gt;"",RIGHT(F1483, LEN(F1483) - FIND(" - ", F1483) - 2),"")</f>
        <v/>
      </c>
    </row>
    <row r="1484" spans="4:4">
      <c r="D1484" s="1" t="str">
        <f t="shared" si="36"/>
        <v/>
      </c>
    </row>
    <row r="1485" spans="4:4">
      <c r="D1485" s="1" t="str">
        <f t="shared" si="36"/>
        <v/>
      </c>
    </row>
    <row r="1486" spans="4:4">
      <c r="D1486" s="1" t="str">
        <f t="shared" si="36"/>
        <v/>
      </c>
    </row>
    <row r="1487" spans="4:4">
      <c r="D1487" s="1" t="str">
        <f t="shared" si="36"/>
        <v/>
      </c>
    </row>
    <row r="1488" spans="4:4">
      <c r="D1488" s="1" t="str">
        <f t="shared" si="36"/>
        <v/>
      </c>
    </row>
    <row r="1489" spans="4:4">
      <c r="D1489" s="1" t="str">
        <f t="shared" si="36"/>
        <v/>
      </c>
    </row>
    <row r="1490" spans="4:4">
      <c r="D1490" s="1" t="str">
        <f t="shared" si="36"/>
        <v/>
      </c>
    </row>
    <row r="1491" spans="4:4">
      <c r="D1491" s="1" t="str">
        <f t="shared" si="36"/>
        <v/>
      </c>
    </row>
    <row r="1492" spans="4:4">
      <c r="D1492" s="1" t="str">
        <f t="shared" si="36"/>
        <v/>
      </c>
    </row>
    <row r="1493" spans="4:4">
      <c r="D1493" s="1" t="str">
        <f t="shared" si="36"/>
        <v/>
      </c>
    </row>
    <row r="1494" spans="4:4">
      <c r="D1494" s="1" t="str">
        <f t="shared" si="36"/>
        <v/>
      </c>
    </row>
    <row r="1495" spans="4:4">
      <c r="D1495" s="1" t="str">
        <f t="shared" si="36"/>
        <v/>
      </c>
    </row>
    <row r="1496" spans="4:4">
      <c r="D1496" s="1" t="str">
        <f t="shared" si="36"/>
        <v/>
      </c>
    </row>
    <row r="1497" spans="4:4">
      <c r="D1497" s="1" t="str">
        <f t="shared" si="36"/>
        <v/>
      </c>
    </row>
    <row r="1498" spans="4:4">
      <c r="D1498" s="1" t="str">
        <f t="shared" si="36"/>
        <v/>
      </c>
    </row>
    <row r="1499" spans="4:4">
      <c r="D1499" s="1" t="str">
        <f t="shared" si="36"/>
        <v/>
      </c>
    </row>
    <row r="1500" spans="4:4">
      <c r="D1500" s="1" t="str">
        <f t="shared" si="36"/>
        <v/>
      </c>
    </row>
    <row r="1501" spans="4:4">
      <c r="D1501" s="1" t="str">
        <f t="shared" si="36"/>
        <v/>
      </c>
    </row>
    <row r="1502" spans="4:4">
      <c r="D1502" s="1" t="str">
        <f t="shared" si="36"/>
        <v/>
      </c>
    </row>
    <row r="1503" spans="4:4">
      <c r="D1503" s="1" t="str">
        <f t="shared" si="36"/>
        <v/>
      </c>
    </row>
    <row r="1504" spans="4:4">
      <c r="D1504" s="1" t="str">
        <f t="shared" si="36"/>
        <v/>
      </c>
    </row>
    <row r="1505" spans="4:4">
      <c r="D1505" s="1" t="str">
        <f t="shared" si="36"/>
        <v/>
      </c>
    </row>
    <row r="1506" spans="4:4">
      <c r="D1506" s="1" t="str">
        <f t="shared" si="36"/>
        <v/>
      </c>
    </row>
    <row r="1507" spans="4:4">
      <c r="D1507" s="1" t="str">
        <f t="shared" si="36"/>
        <v/>
      </c>
    </row>
    <row r="1508" spans="4:4">
      <c r="D1508" s="1" t="str">
        <f t="shared" si="36"/>
        <v/>
      </c>
    </row>
    <row r="1509" spans="4:4">
      <c r="D1509" s="1" t="str">
        <f t="shared" si="36"/>
        <v/>
      </c>
    </row>
    <row r="1510" spans="4:4">
      <c r="D1510" s="1" t="str">
        <f t="shared" si="36"/>
        <v/>
      </c>
    </row>
    <row r="1511" spans="4:4">
      <c r="D1511" s="1" t="str">
        <f t="shared" si="36"/>
        <v/>
      </c>
    </row>
    <row r="1512" spans="4:4">
      <c r="D1512" s="1" t="str">
        <f t="shared" si="36"/>
        <v/>
      </c>
    </row>
    <row r="1513" spans="4:4">
      <c r="D1513" s="1" t="str">
        <f t="shared" si="36"/>
        <v/>
      </c>
    </row>
    <row r="1514" spans="4:4">
      <c r="D1514" s="1" t="str">
        <f t="shared" si="36"/>
        <v/>
      </c>
    </row>
    <row r="1515" spans="4:4">
      <c r="D1515" s="1" t="str">
        <f t="shared" si="36"/>
        <v/>
      </c>
    </row>
    <row r="1516" spans="4:4">
      <c r="D1516" s="1" t="str">
        <f t="shared" si="36"/>
        <v/>
      </c>
    </row>
    <row r="1517" spans="4:4">
      <c r="D1517" s="1" t="str">
        <f t="shared" si="36"/>
        <v/>
      </c>
    </row>
    <row r="1518" spans="4:4">
      <c r="D1518" s="1" t="str">
        <f t="shared" si="36"/>
        <v/>
      </c>
    </row>
    <row r="1519" spans="4:4">
      <c r="D1519" s="1" t="str">
        <f t="shared" si="36"/>
        <v/>
      </c>
    </row>
    <row r="1520" spans="4:4">
      <c r="D1520" s="1" t="str">
        <f t="shared" si="36"/>
        <v/>
      </c>
    </row>
    <row r="1521" spans="4:4">
      <c r="D1521" s="1" t="str">
        <f t="shared" si="36"/>
        <v/>
      </c>
    </row>
    <row r="1522" spans="4:4">
      <c r="D1522" s="1" t="str">
        <f t="shared" si="36"/>
        <v/>
      </c>
    </row>
    <row r="1523" spans="4:4">
      <c r="D1523" s="1" t="str">
        <f t="shared" si="36"/>
        <v/>
      </c>
    </row>
    <row r="1524" spans="4:4">
      <c r="D1524" s="1" t="str">
        <f t="shared" si="36"/>
        <v/>
      </c>
    </row>
    <row r="1525" spans="4:4">
      <c r="D1525" s="1" t="str">
        <f t="shared" si="36"/>
        <v/>
      </c>
    </row>
    <row r="1526" spans="4:4">
      <c r="D1526" s="1" t="str">
        <f t="shared" si="36"/>
        <v/>
      </c>
    </row>
    <row r="1527" spans="4:4">
      <c r="D1527" s="1" t="str">
        <f t="shared" si="36"/>
        <v/>
      </c>
    </row>
    <row r="1528" spans="4:4">
      <c r="D1528" s="1" t="str">
        <f t="shared" si="36"/>
        <v/>
      </c>
    </row>
    <row r="1529" spans="4:4">
      <c r="D1529" s="1" t="str">
        <f t="shared" si="36"/>
        <v/>
      </c>
    </row>
    <row r="1530" spans="4:4">
      <c r="D1530" s="1" t="str">
        <f t="shared" si="36"/>
        <v/>
      </c>
    </row>
    <row r="1531" spans="4:4">
      <c r="D1531" s="1" t="str">
        <f t="shared" si="36"/>
        <v/>
      </c>
    </row>
    <row r="1532" spans="4:4">
      <c r="D1532" s="1" t="str">
        <f t="shared" si="36"/>
        <v/>
      </c>
    </row>
    <row r="1533" spans="4:4">
      <c r="D1533" s="1" t="str">
        <f t="shared" si="36"/>
        <v/>
      </c>
    </row>
    <row r="1534" spans="4:4">
      <c r="D1534" s="1" t="str">
        <f t="shared" si="36"/>
        <v/>
      </c>
    </row>
    <row r="1535" spans="4:4">
      <c r="D1535" s="1" t="str">
        <f t="shared" si="36"/>
        <v/>
      </c>
    </row>
    <row r="1536" spans="4:4">
      <c r="D1536" s="1" t="str">
        <f t="shared" si="36"/>
        <v/>
      </c>
    </row>
    <row r="1537" spans="4:4">
      <c r="D1537" s="1" t="str">
        <f t="shared" si="36"/>
        <v/>
      </c>
    </row>
    <row r="1538" spans="4:4">
      <c r="D1538" s="1" t="str">
        <f t="shared" si="36"/>
        <v/>
      </c>
    </row>
    <row r="1539" spans="4:4">
      <c r="D1539" s="1" t="str">
        <f t="shared" si="36"/>
        <v/>
      </c>
    </row>
    <row r="1540" spans="4:4">
      <c r="D1540" s="1" t="str">
        <f t="shared" si="36"/>
        <v/>
      </c>
    </row>
    <row r="1541" spans="4:4">
      <c r="D1541" s="1" t="str">
        <f t="shared" si="36"/>
        <v/>
      </c>
    </row>
    <row r="1542" spans="4:4">
      <c r="D1542" s="1" t="str">
        <f t="shared" si="36"/>
        <v/>
      </c>
    </row>
    <row r="1543" spans="4:4">
      <c r="D1543" s="1" t="str">
        <f t="shared" si="36"/>
        <v/>
      </c>
    </row>
    <row r="1544" spans="4:4">
      <c r="D1544" s="1" t="str">
        <f t="shared" si="36"/>
        <v/>
      </c>
    </row>
    <row r="1545" spans="4:4">
      <c r="D1545" s="1" t="str">
        <f t="shared" si="36"/>
        <v/>
      </c>
    </row>
    <row r="1546" spans="4:4">
      <c r="D1546" s="1" t="str">
        <f t="shared" si="36"/>
        <v/>
      </c>
    </row>
    <row r="1547" spans="4:4">
      <c r="D1547" s="1" t="str">
        <f t="shared" ref="D1547:D1610" si="37">IF(F1547&lt;&gt;"",RIGHT(F1547, LEN(F1547) - FIND(" - ", F1547) - 2),"")</f>
        <v/>
      </c>
    </row>
    <row r="1548" spans="4:4">
      <c r="D1548" s="1" t="str">
        <f t="shared" si="37"/>
        <v/>
      </c>
    </row>
    <row r="1549" spans="4:4">
      <c r="D1549" s="1" t="str">
        <f t="shared" si="37"/>
        <v/>
      </c>
    </row>
    <row r="1550" spans="4:4">
      <c r="D1550" s="1" t="str">
        <f t="shared" si="37"/>
        <v/>
      </c>
    </row>
    <row r="1551" spans="4:4">
      <c r="D1551" s="1" t="str">
        <f t="shared" si="37"/>
        <v/>
      </c>
    </row>
    <row r="1552" spans="4:4">
      <c r="D1552" s="1" t="str">
        <f t="shared" si="37"/>
        <v/>
      </c>
    </row>
    <row r="1553" spans="4:4">
      <c r="D1553" s="1" t="str">
        <f t="shared" si="37"/>
        <v/>
      </c>
    </row>
    <row r="1554" spans="4:4">
      <c r="D1554" s="1" t="str">
        <f t="shared" si="37"/>
        <v/>
      </c>
    </row>
    <row r="1555" spans="4:4">
      <c r="D1555" s="1" t="str">
        <f t="shared" si="37"/>
        <v/>
      </c>
    </row>
    <row r="1556" spans="4:4">
      <c r="D1556" s="1" t="str">
        <f t="shared" si="37"/>
        <v/>
      </c>
    </row>
    <row r="1557" spans="4:4">
      <c r="D1557" s="1" t="str">
        <f t="shared" si="37"/>
        <v/>
      </c>
    </row>
    <row r="1558" spans="4:4">
      <c r="D1558" s="1" t="str">
        <f t="shared" si="37"/>
        <v/>
      </c>
    </row>
    <row r="1559" spans="4:4">
      <c r="D1559" s="1" t="str">
        <f t="shared" si="37"/>
        <v/>
      </c>
    </row>
    <row r="1560" spans="4:4">
      <c r="D1560" s="1" t="str">
        <f t="shared" si="37"/>
        <v/>
      </c>
    </row>
    <row r="1561" spans="4:4">
      <c r="D1561" s="1" t="str">
        <f t="shared" si="37"/>
        <v/>
      </c>
    </row>
    <row r="1562" spans="4:4">
      <c r="D1562" s="1" t="str">
        <f t="shared" si="37"/>
        <v/>
      </c>
    </row>
    <row r="1563" spans="4:4">
      <c r="D1563" s="1" t="str">
        <f t="shared" si="37"/>
        <v/>
      </c>
    </row>
    <row r="1564" spans="4:4">
      <c r="D1564" s="1" t="str">
        <f t="shared" si="37"/>
        <v/>
      </c>
    </row>
    <row r="1565" spans="4:4">
      <c r="D1565" s="1" t="str">
        <f t="shared" si="37"/>
        <v/>
      </c>
    </row>
    <row r="1566" spans="4:4">
      <c r="D1566" s="1" t="str">
        <f t="shared" si="37"/>
        <v/>
      </c>
    </row>
    <row r="1567" spans="4:4">
      <c r="D1567" s="1" t="str">
        <f t="shared" si="37"/>
        <v/>
      </c>
    </row>
    <row r="1568" spans="4:4">
      <c r="D1568" s="1" t="str">
        <f t="shared" si="37"/>
        <v/>
      </c>
    </row>
    <row r="1569" spans="4:4">
      <c r="D1569" s="1" t="str">
        <f t="shared" si="37"/>
        <v/>
      </c>
    </row>
    <row r="1570" spans="4:4">
      <c r="D1570" s="1" t="str">
        <f t="shared" si="37"/>
        <v/>
      </c>
    </row>
    <row r="1571" spans="4:4">
      <c r="D1571" s="1" t="str">
        <f t="shared" si="37"/>
        <v/>
      </c>
    </row>
    <row r="1572" spans="4:4">
      <c r="D1572" s="1" t="str">
        <f t="shared" si="37"/>
        <v/>
      </c>
    </row>
    <row r="1573" spans="4:4">
      <c r="D1573" s="1" t="str">
        <f t="shared" si="37"/>
        <v/>
      </c>
    </row>
    <row r="1574" spans="4:4">
      <c r="D1574" s="1" t="str">
        <f t="shared" si="37"/>
        <v/>
      </c>
    </row>
    <row r="1575" spans="4:4">
      <c r="D1575" s="1" t="str">
        <f t="shared" si="37"/>
        <v/>
      </c>
    </row>
    <row r="1576" spans="4:4">
      <c r="D1576" s="1" t="str">
        <f t="shared" si="37"/>
        <v/>
      </c>
    </row>
    <row r="1577" spans="4:4">
      <c r="D1577" s="1" t="str">
        <f t="shared" si="37"/>
        <v/>
      </c>
    </row>
    <row r="1578" spans="4:4">
      <c r="D1578" s="1" t="str">
        <f t="shared" si="37"/>
        <v/>
      </c>
    </row>
    <row r="1579" spans="4:4">
      <c r="D1579" s="1" t="str">
        <f t="shared" si="37"/>
        <v/>
      </c>
    </row>
    <row r="1580" spans="4:4">
      <c r="D1580" s="1" t="str">
        <f t="shared" si="37"/>
        <v/>
      </c>
    </row>
    <row r="1581" spans="4:4">
      <c r="D1581" s="1" t="str">
        <f t="shared" si="37"/>
        <v/>
      </c>
    </row>
    <row r="1582" spans="4:4">
      <c r="D1582" s="1" t="str">
        <f t="shared" si="37"/>
        <v/>
      </c>
    </row>
    <row r="1583" spans="4:4">
      <c r="D1583" s="1" t="str">
        <f t="shared" si="37"/>
        <v/>
      </c>
    </row>
    <row r="1584" spans="4:4">
      <c r="D1584" s="1" t="str">
        <f t="shared" si="37"/>
        <v/>
      </c>
    </row>
    <row r="1585" spans="4:4">
      <c r="D1585" s="1" t="str">
        <f t="shared" si="37"/>
        <v/>
      </c>
    </row>
    <row r="1586" spans="4:4">
      <c r="D1586" s="1" t="str">
        <f t="shared" si="37"/>
        <v/>
      </c>
    </row>
    <row r="1587" spans="4:4">
      <c r="D1587" s="1" t="str">
        <f t="shared" si="37"/>
        <v/>
      </c>
    </row>
    <row r="1588" spans="4:4">
      <c r="D1588" s="1" t="str">
        <f t="shared" si="37"/>
        <v/>
      </c>
    </row>
    <row r="1589" spans="4:4">
      <c r="D1589" s="1" t="str">
        <f t="shared" si="37"/>
        <v/>
      </c>
    </row>
    <row r="1590" spans="4:4">
      <c r="D1590" s="1" t="str">
        <f t="shared" si="37"/>
        <v/>
      </c>
    </row>
    <row r="1591" spans="4:4">
      <c r="D1591" s="1" t="str">
        <f t="shared" si="37"/>
        <v/>
      </c>
    </row>
    <row r="1592" spans="4:4">
      <c r="D1592" s="1" t="str">
        <f t="shared" si="37"/>
        <v/>
      </c>
    </row>
    <row r="1593" spans="4:4">
      <c r="D1593" s="1" t="str">
        <f t="shared" si="37"/>
        <v/>
      </c>
    </row>
    <row r="1594" spans="4:4">
      <c r="D1594" s="1" t="str">
        <f t="shared" si="37"/>
        <v/>
      </c>
    </row>
    <row r="1595" spans="4:4">
      <c r="D1595" s="1" t="str">
        <f t="shared" si="37"/>
        <v/>
      </c>
    </row>
    <row r="1596" spans="4:4">
      <c r="D1596" s="1" t="str">
        <f t="shared" si="37"/>
        <v/>
      </c>
    </row>
    <row r="1597" spans="4:4">
      <c r="D1597" s="1" t="str">
        <f t="shared" si="37"/>
        <v/>
      </c>
    </row>
    <row r="1598" spans="4:4">
      <c r="D1598" s="1" t="str">
        <f t="shared" si="37"/>
        <v/>
      </c>
    </row>
    <row r="1599" spans="4:4">
      <c r="D1599" s="1" t="str">
        <f t="shared" si="37"/>
        <v/>
      </c>
    </row>
    <row r="1600" spans="4:4">
      <c r="D1600" s="1" t="str">
        <f t="shared" si="37"/>
        <v/>
      </c>
    </row>
    <row r="1601" spans="4:4">
      <c r="D1601" s="1" t="str">
        <f t="shared" si="37"/>
        <v/>
      </c>
    </row>
    <row r="1602" spans="4:4">
      <c r="D1602" s="1" t="str">
        <f t="shared" si="37"/>
        <v/>
      </c>
    </row>
    <row r="1603" spans="4:4">
      <c r="D1603" s="1" t="str">
        <f t="shared" si="37"/>
        <v/>
      </c>
    </row>
    <row r="1604" spans="4:4">
      <c r="D1604" s="1" t="str">
        <f t="shared" si="37"/>
        <v/>
      </c>
    </row>
    <row r="1605" spans="4:4">
      <c r="D1605" s="1" t="str">
        <f t="shared" si="37"/>
        <v/>
      </c>
    </row>
    <row r="1606" spans="4:4">
      <c r="D1606" s="1" t="str">
        <f t="shared" si="37"/>
        <v/>
      </c>
    </row>
    <row r="1607" spans="4:4">
      <c r="D1607" s="1" t="str">
        <f t="shared" si="37"/>
        <v/>
      </c>
    </row>
    <row r="1608" spans="4:4">
      <c r="D1608" s="1" t="str">
        <f t="shared" si="37"/>
        <v/>
      </c>
    </row>
    <row r="1609" spans="4:4">
      <c r="D1609" s="1" t="str">
        <f t="shared" si="37"/>
        <v/>
      </c>
    </row>
    <row r="1610" spans="4:4">
      <c r="D1610" s="1" t="str">
        <f t="shared" si="37"/>
        <v/>
      </c>
    </row>
    <row r="1611" spans="4:4">
      <c r="D1611" s="1" t="str">
        <f t="shared" ref="D1611:D1629" si="38">IF(F1611&lt;&gt;"",RIGHT(F1611, LEN(F1611) - FIND(" - ", F1611) - 2),"")</f>
        <v/>
      </c>
    </row>
    <row r="1612" spans="4:4">
      <c r="D1612" s="1" t="str">
        <f t="shared" si="38"/>
        <v/>
      </c>
    </row>
    <row r="1613" spans="4:4">
      <c r="D1613" s="1" t="str">
        <f t="shared" si="38"/>
        <v/>
      </c>
    </row>
    <row r="1614" spans="4:4">
      <c r="D1614" s="1" t="str">
        <f t="shared" si="38"/>
        <v/>
      </c>
    </row>
    <row r="1615" spans="4:4">
      <c r="D1615" s="1" t="str">
        <f t="shared" si="38"/>
        <v/>
      </c>
    </row>
    <row r="1616" spans="4:4">
      <c r="D1616" s="1" t="str">
        <f t="shared" si="38"/>
        <v/>
      </c>
    </row>
    <row r="1617" spans="4:4">
      <c r="D1617" s="1" t="str">
        <f t="shared" si="38"/>
        <v/>
      </c>
    </row>
    <row r="1618" spans="4:4">
      <c r="D1618" s="1" t="str">
        <f t="shared" si="38"/>
        <v/>
      </c>
    </row>
    <row r="1619" spans="4:4">
      <c r="D1619" s="1" t="str">
        <f t="shared" si="38"/>
        <v/>
      </c>
    </row>
    <row r="1620" spans="4:4">
      <c r="D1620" s="1" t="str">
        <f t="shared" si="38"/>
        <v/>
      </c>
    </row>
    <row r="1621" spans="4:4">
      <c r="D1621" s="1" t="str">
        <f t="shared" si="38"/>
        <v/>
      </c>
    </row>
    <row r="1622" spans="4:4">
      <c r="D1622" s="1" t="str">
        <f t="shared" si="38"/>
        <v/>
      </c>
    </row>
    <row r="1623" spans="4:4">
      <c r="D1623" s="1" t="str">
        <f t="shared" si="38"/>
        <v/>
      </c>
    </row>
    <row r="1624" spans="4:4">
      <c r="D1624" s="1" t="str">
        <f t="shared" si="38"/>
        <v/>
      </c>
    </row>
    <row r="1625" spans="4:4">
      <c r="D1625" s="1" t="str">
        <f t="shared" si="38"/>
        <v/>
      </c>
    </row>
    <row r="1626" spans="4:4">
      <c r="D1626" s="1" t="str">
        <f t="shared" si="38"/>
        <v/>
      </c>
    </row>
    <row r="1627" spans="4:4">
      <c r="D1627" s="1" t="str">
        <f t="shared" si="38"/>
        <v/>
      </c>
    </row>
    <row r="1628" spans="4:4">
      <c r="D1628" s="1" t="str">
        <f t="shared" si="38"/>
        <v/>
      </c>
    </row>
    <row r="1629" spans="4:4">
      <c r="D1629" s="1" t="str">
        <f t="shared" si="38"/>
        <v/>
      </c>
    </row>
  </sheetData>
  <autoFilter ref="A10:M1629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 filterMode="1"/>
  <dimension ref="A1:G248"/>
  <sheetViews>
    <sheetView topLeftCell="A164" workbookViewId="0">
      <selection activeCell="E190" sqref="E190"/>
    </sheetView>
  </sheetViews>
  <sheetFormatPr baseColWidth="10" defaultRowHeight="14.25"/>
  <cols>
    <col min="2" max="2" width="17" bestFit="1" customWidth="1"/>
    <col min="3" max="4" width="17.5" customWidth="1"/>
    <col min="5" max="5" width="38.5" bestFit="1" customWidth="1"/>
    <col min="7" max="7" width="31.5" customWidth="1"/>
  </cols>
  <sheetData>
    <row r="1" spans="2:6" ht="15">
      <c r="B1" t="s">
        <v>171</v>
      </c>
      <c r="C1" s="18" t="s">
        <v>10</v>
      </c>
      <c r="D1" s="19" t="s">
        <v>145</v>
      </c>
      <c r="E1" s="19" t="s">
        <v>144</v>
      </c>
      <c r="F1" s="19" t="s">
        <v>146</v>
      </c>
    </row>
    <row r="2" spans="2:6" ht="14.25" hidden="1" customHeight="1">
      <c r="C2" s="12"/>
      <c r="E2" t="s">
        <v>41</v>
      </c>
    </row>
    <row r="3" spans="2:6">
      <c r="C3" s="12" t="s">
        <v>26</v>
      </c>
      <c r="D3" t="str">
        <f>IF(E3&lt;&gt;"",LEFT(E3,15),"")</f>
        <v>06 47 74 21 11</v>
      </c>
      <c r="E3" t="s">
        <v>43</v>
      </c>
      <c r="F3" t="s">
        <v>15</v>
      </c>
    </row>
    <row r="4" spans="2:6" ht="14.25" hidden="1" customHeight="1">
      <c r="C4" s="12"/>
      <c r="E4" t="s">
        <v>44</v>
      </c>
    </row>
    <row r="5" spans="2:6" ht="14.25" hidden="1" customHeight="1">
      <c r="C5" s="12"/>
      <c r="D5" t="str">
        <f>IF(E5&lt;&gt;"",LEFT(E5,15),"")</f>
        <v>06 87 59 37 18</v>
      </c>
      <c r="E5" t="s">
        <v>45</v>
      </c>
    </row>
    <row r="6" spans="2:6" ht="14.25" hidden="1" customHeight="1">
      <c r="C6" s="12"/>
      <c r="E6" t="s">
        <v>46</v>
      </c>
      <c r="F6" t="s">
        <v>15</v>
      </c>
    </row>
    <row r="7" spans="2:6" ht="14.25" hidden="1" customHeight="1">
      <c r="C7" s="12"/>
      <c r="D7" t="str">
        <f>IF(E7&lt;&gt;"",LEFT(E7,15),"")</f>
        <v>07 88 39 26 32</v>
      </c>
      <c r="E7" t="s">
        <v>47</v>
      </c>
      <c r="F7" t="s">
        <v>51</v>
      </c>
    </row>
    <row r="8" spans="2:6" ht="14.25" hidden="1" customHeight="1">
      <c r="C8" s="12"/>
      <c r="E8" t="s">
        <v>48</v>
      </c>
    </row>
    <row r="9" spans="2:6" ht="14.25" hidden="1" customHeight="1">
      <c r="C9" s="12"/>
      <c r="D9" t="str">
        <f>IF(E9&lt;&gt;"",LEFT(E9,15),"")</f>
        <v>06 82 09 07 51</v>
      </c>
      <c r="E9" t="s">
        <v>49</v>
      </c>
      <c r="F9" t="s">
        <v>51</v>
      </c>
    </row>
    <row r="10" spans="2:6" ht="14.25" hidden="1" customHeight="1">
      <c r="B10" t="s">
        <v>51</v>
      </c>
      <c r="C10" s="12"/>
      <c r="E10" t="s">
        <v>50</v>
      </c>
    </row>
    <row r="11" spans="2:6" ht="14.25" hidden="1" customHeight="1">
      <c r="B11" t="s">
        <v>15</v>
      </c>
      <c r="C11" s="12"/>
      <c r="D11" t="str">
        <f>IF(E11&lt;&gt;"",LEFT(E11,15),"")</f>
        <v/>
      </c>
    </row>
    <row r="12" spans="2:6" ht="14.25" customHeight="1">
      <c r="C12" s="12" t="s">
        <v>147</v>
      </c>
      <c r="D12" t="str">
        <f>IF(E12&lt;&gt;"",LEFT(E12,15),"")</f>
        <v>06 15 76 23 95</v>
      </c>
      <c r="E12" t="s">
        <v>52</v>
      </c>
      <c r="F12" s="15" t="s">
        <v>72</v>
      </c>
    </row>
    <row r="13" spans="2:6" ht="14.25" hidden="1" customHeight="1">
      <c r="C13" s="12"/>
      <c r="E13" t="s">
        <v>53</v>
      </c>
    </row>
    <row r="14" spans="2:6">
      <c r="C14" s="12" t="s">
        <v>26</v>
      </c>
      <c r="D14" t="str">
        <f>IF(E14&lt;&gt;"",LEFT(E14,15),"")</f>
        <v>06 99 77 50 88</v>
      </c>
      <c r="E14" t="s">
        <v>54</v>
      </c>
      <c r="F14" t="s">
        <v>15</v>
      </c>
    </row>
    <row r="15" spans="2:6" ht="14.25" hidden="1" customHeight="1">
      <c r="C15" s="12"/>
      <c r="E15" t="s">
        <v>55</v>
      </c>
    </row>
    <row r="16" spans="2:6" ht="14.25" hidden="1" customHeight="1">
      <c r="C16" s="12"/>
      <c r="D16" t="str">
        <f>IF(E16&lt;&gt;"",LEFT(E16,15),"")</f>
        <v>ok</v>
      </c>
      <c r="E16" t="s">
        <v>26</v>
      </c>
    </row>
    <row r="17" spans="1:7" ht="42.75">
      <c r="A17" t="s">
        <v>170</v>
      </c>
      <c r="B17" t="s">
        <v>168</v>
      </c>
      <c r="C17" s="12" t="s">
        <v>26</v>
      </c>
      <c r="D17" t="s">
        <v>159</v>
      </c>
      <c r="E17" s="12" t="s">
        <v>148</v>
      </c>
      <c r="F17" t="s">
        <v>15</v>
      </c>
      <c r="G17" t="s">
        <v>150</v>
      </c>
    </row>
    <row r="18" spans="1:7" ht="14.25" hidden="1" customHeight="1">
      <c r="C18" s="12"/>
      <c r="D18" t="str">
        <f>IF(E18&lt;&gt;"",LEFT(E18,15),"")</f>
        <v>ok</v>
      </c>
      <c r="E18" t="s">
        <v>26</v>
      </c>
    </row>
    <row r="19" spans="1:7" ht="42.75" hidden="1" customHeight="1">
      <c r="C19" s="12"/>
      <c r="D19" t="str">
        <f>IF(E19&lt;&gt;"",LEFT(E19,15),"")</f>
        <v xml:space="preserve">06 11 01 72 21
</v>
      </c>
      <c r="E19" s="12" t="s">
        <v>56</v>
      </c>
    </row>
    <row r="20" spans="1:7" ht="14.25" hidden="1" customHeight="1">
      <c r="C20" s="12"/>
      <c r="D20" t="str">
        <f>IF(E20&lt;&gt;"",LEFT(E20,15),"")</f>
        <v>06 17 31 29 97</v>
      </c>
      <c r="E20" t="s">
        <v>57</v>
      </c>
      <c r="F20" t="s">
        <v>15</v>
      </c>
    </row>
    <row r="21" spans="1:7" ht="14.25" hidden="1" customHeight="1">
      <c r="C21" s="12"/>
      <c r="E21" t="s">
        <v>58</v>
      </c>
    </row>
    <row r="22" spans="1:7" ht="14.25" hidden="1" customHeight="1">
      <c r="C22" s="12"/>
      <c r="D22" t="str">
        <f t="shared" ref="D22:D85" si="0">IF(E22&lt;&gt;"",LEFT(E22,15),"")</f>
        <v/>
      </c>
    </row>
    <row r="23" spans="1:7" ht="99.75" hidden="1" customHeight="1">
      <c r="C23" s="12"/>
      <c r="D23" t="str">
        <f t="shared" si="0"/>
        <v xml:space="preserve">06 88 12 30 31
</v>
      </c>
      <c r="E23" s="12" t="s">
        <v>59</v>
      </c>
      <c r="F23" t="s">
        <v>15</v>
      </c>
    </row>
    <row r="24" spans="1:7" ht="99.75" hidden="1" customHeight="1">
      <c r="C24" s="12"/>
      <c r="D24" t="str">
        <f t="shared" si="0"/>
        <v xml:space="preserve">
06 83 29 04 45</v>
      </c>
      <c r="E24" s="12" t="s">
        <v>60</v>
      </c>
      <c r="F24" t="s">
        <v>15</v>
      </c>
    </row>
    <row r="25" spans="1:7" ht="85.5" hidden="1" customHeight="1">
      <c r="C25" s="12"/>
      <c r="D25" t="str">
        <f t="shared" si="0"/>
        <v xml:space="preserve">06 30 03 73 16
</v>
      </c>
      <c r="E25" s="12" t="s">
        <v>61</v>
      </c>
    </row>
    <row r="26" spans="1:7" ht="85.5" hidden="1" customHeight="1">
      <c r="C26" s="12"/>
      <c r="D26" t="str">
        <f t="shared" si="0"/>
        <v xml:space="preserve">06 88 73 02 81
</v>
      </c>
      <c r="E26" s="12" t="s">
        <v>62</v>
      </c>
      <c r="F26" t="s">
        <v>51</v>
      </c>
    </row>
    <row r="27" spans="1:7" ht="99.75" hidden="1" customHeight="1">
      <c r="C27" s="12"/>
      <c r="D27" t="str">
        <f t="shared" si="0"/>
        <v xml:space="preserve">06 16 03 20 23
</v>
      </c>
      <c r="E27" s="12" t="s">
        <v>63</v>
      </c>
    </row>
    <row r="28" spans="1:7" ht="85.5" customHeight="1">
      <c r="C28" s="12" t="s">
        <v>71</v>
      </c>
      <c r="D28" t="str">
        <f t="shared" si="0"/>
        <v xml:space="preserve">07 88 98 65 37
</v>
      </c>
      <c r="E28" s="12" t="s">
        <v>64</v>
      </c>
    </row>
    <row r="29" spans="1:7" ht="85.5" hidden="1" customHeight="1">
      <c r="C29" s="12"/>
      <c r="D29" t="str">
        <f t="shared" si="0"/>
        <v xml:space="preserve">06 20 01 62 43
</v>
      </c>
      <c r="E29" s="12" t="s">
        <v>65</v>
      </c>
      <c r="F29" t="s">
        <v>15</v>
      </c>
    </row>
    <row r="30" spans="1:7" ht="85.5" hidden="1" customHeight="1">
      <c r="C30" s="12"/>
      <c r="D30" t="str">
        <f t="shared" si="0"/>
        <v xml:space="preserve">07 64 47 53 16
</v>
      </c>
      <c r="E30" s="12" t="s">
        <v>66</v>
      </c>
      <c r="F30" t="s">
        <v>15</v>
      </c>
    </row>
    <row r="31" spans="1:7" ht="85.5" customHeight="1">
      <c r="C31" s="12" t="s">
        <v>68</v>
      </c>
      <c r="D31" t="str">
        <f t="shared" si="0"/>
        <v xml:space="preserve">06 99 90 59 62
</v>
      </c>
      <c r="E31" s="12" t="s">
        <v>67</v>
      </c>
    </row>
    <row r="32" spans="1:7" ht="99.75" hidden="1" customHeight="1">
      <c r="C32" s="12"/>
      <c r="D32" t="str">
        <f t="shared" si="0"/>
        <v xml:space="preserve">06 65 45 26 69
</v>
      </c>
      <c r="E32" s="12" t="s">
        <v>69</v>
      </c>
      <c r="F32" t="s">
        <v>51</v>
      </c>
    </row>
    <row r="33" spans="1:7" ht="85.5" hidden="1" customHeight="1">
      <c r="C33" s="12"/>
      <c r="D33" t="str">
        <f t="shared" si="0"/>
        <v xml:space="preserve">06 16 87 31 97
</v>
      </c>
      <c r="E33" s="12" t="s">
        <v>70</v>
      </c>
      <c r="F33" t="s">
        <v>15</v>
      </c>
    </row>
    <row r="34" spans="1:7" ht="99.75" hidden="1" customHeight="1">
      <c r="C34" s="12"/>
      <c r="D34" t="str">
        <f t="shared" si="0"/>
        <v xml:space="preserve">06 26 43 07 04
</v>
      </c>
      <c r="E34" s="12" t="s">
        <v>73</v>
      </c>
      <c r="F34" t="s">
        <v>15</v>
      </c>
    </row>
    <row r="35" spans="1:7" ht="99.75" hidden="1" customHeight="1">
      <c r="C35" s="12"/>
      <c r="D35" t="str">
        <f t="shared" si="0"/>
        <v xml:space="preserve">06 84 57 02 27
</v>
      </c>
      <c r="E35" s="12" t="s">
        <v>74</v>
      </c>
      <c r="F35" t="s">
        <v>15</v>
      </c>
    </row>
    <row r="36" spans="1:7" ht="99.75" hidden="1" customHeight="1">
      <c r="C36" s="12"/>
      <c r="D36" t="str">
        <f t="shared" si="0"/>
        <v xml:space="preserve">06 61 78 36 52
</v>
      </c>
      <c r="E36" s="12" t="s">
        <v>75</v>
      </c>
      <c r="F36" t="s">
        <v>15</v>
      </c>
    </row>
    <row r="37" spans="1:7" ht="85.5" customHeight="1">
      <c r="C37" s="12" t="s">
        <v>78</v>
      </c>
      <c r="D37" t="str">
        <f t="shared" si="0"/>
        <v xml:space="preserve">06 22 11 88 75
</v>
      </c>
      <c r="E37" s="12" t="s">
        <v>76</v>
      </c>
    </row>
    <row r="38" spans="1:7" ht="85.5" hidden="1" customHeight="1">
      <c r="C38" s="12"/>
      <c r="D38" t="str">
        <f t="shared" si="0"/>
        <v xml:space="preserve">06 43 51 75 75
</v>
      </c>
      <c r="E38" s="12" t="s">
        <v>77</v>
      </c>
      <c r="F38" t="s">
        <v>15</v>
      </c>
    </row>
    <row r="39" spans="1:7" ht="28.5">
      <c r="B39" t="s">
        <v>169</v>
      </c>
      <c r="C39" s="12" t="s">
        <v>79</v>
      </c>
      <c r="D39" t="s">
        <v>160</v>
      </c>
      <c r="E39" s="12" t="s">
        <v>149</v>
      </c>
      <c r="G39" t="s">
        <v>151</v>
      </c>
    </row>
    <row r="40" spans="1:7" ht="42.75" hidden="1" customHeight="1">
      <c r="C40" s="12"/>
      <c r="D40" t="str">
        <f t="shared" si="0"/>
        <v xml:space="preserve">06 64 23 14 31
</v>
      </c>
      <c r="E40" s="12" t="s">
        <v>80</v>
      </c>
      <c r="F40" t="s">
        <v>15</v>
      </c>
    </row>
    <row r="41" spans="1:7" ht="99.75" customHeight="1">
      <c r="B41" t="s">
        <v>85</v>
      </c>
      <c r="C41" s="12" t="s">
        <v>82</v>
      </c>
      <c r="D41" t="str">
        <f t="shared" si="0"/>
        <v xml:space="preserve">06 16 47 62 74
</v>
      </c>
      <c r="E41" s="12" t="s">
        <v>81</v>
      </c>
    </row>
    <row r="42" spans="1:7" ht="42.75" customHeight="1">
      <c r="C42" s="12" t="s">
        <v>83</v>
      </c>
      <c r="D42" t="str">
        <f t="shared" si="0"/>
        <v/>
      </c>
    </row>
    <row r="43" spans="1:7" ht="28.5" customHeight="1">
      <c r="C43" s="12" t="s">
        <v>84</v>
      </c>
      <c r="D43" t="str">
        <f t="shared" si="0"/>
        <v/>
      </c>
    </row>
    <row r="44" spans="1:7" ht="14.25" hidden="1" customHeight="1">
      <c r="C44" s="12"/>
      <c r="D44" t="str">
        <f t="shared" si="0"/>
        <v/>
      </c>
    </row>
    <row r="45" spans="1:7" ht="85.5" hidden="1" customHeight="1">
      <c r="A45" t="s">
        <v>185</v>
      </c>
      <c r="B45" t="s">
        <v>184</v>
      </c>
      <c r="C45" s="12"/>
      <c r="D45" t="str">
        <f t="shared" si="0"/>
        <v xml:space="preserve">06 18 18 74 87
</v>
      </c>
      <c r="E45" s="12" t="s">
        <v>86</v>
      </c>
      <c r="F45" t="s">
        <v>15</v>
      </c>
    </row>
    <row r="46" spans="1:7" ht="14.25" hidden="1" customHeight="1">
      <c r="C46" s="12"/>
      <c r="D46" t="str">
        <f t="shared" si="0"/>
        <v/>
      </c>
    </row>
    <row r="47" spans="1:7" ht="14.25" hidden="1" customHeight="1">
      <c r="C47" s="12"/>
      <c r="D47" t="str">
        <f t="shared" si="0"/>
        <v/>
      </c>
    </row>
    <row r="48" spans="1:7" ht="85.5" hidden="1" customHeight="1">
      <c r="C48" s="12"/>
      <c r="D48" t="str">
        <f t="shared" si="0"/>
        <v xml:space="preserve">07 77 95 76 06
</v>
      </c>
      <c r="E48" s="12" t="s">
        <v>87</v>
      </c>
      <c r="F48" t="s">
        <v>15</v>
      </c>
    </row>
    <row r="49" spans="1:7" ht="14.25" hidden="1" customHeight="1">
      <c r="C49" s="12"/>
      <c r="D49" t="str">
        <f t="shared" si="0"/>
        <v/>
      </c>
    </row>
    <row r="50" spans="1:7" ht="14.25" hidden="1" customHeight="1">
      <c r="C50" s="12"/>
      <c r="D50" t="str">
        <f t="shared" si="0"/>
        <v/>
      </c>
    </row>
    <row r="51" spans="1:7" ht="85.5" hidden="1" customHeight="1">
      <c r="C51" s="12"/>
      <c r="D51" t="str">
        <f t="shared" si="0"/>
        <v xml:space="preserve">06 32 40 67 80
</v>
      </c>
      <c r="E51" s="12" t="s">
        <v>88</v>
      </c>
      <c r="F51" t="s">
        <v>15</v>
      </c>
    </row>
    <row r="52" spans="1:7" ht="14.25" hidden="1" customHeight="1">
      <c r="C52" s="12"/>
      <c r="D52" t="str">
        <f t="shared" si="0"/>
        <v/>
      </c>
    </row>
    <row r="53" spans="1:7" ht="14.25" hidden="1" customHeight="1">
      <c r="C53" s="12"/>
      <c r="D53" t="str">
        <f t="shared" si="0"/>
        <v/>
      </c>
    </row>
    <row r="54" spans="1:7" ht="42.75">
      <c r="A54" t="s">
        <v>172</v>
      </c>
      <c r="B54" t="s">
        <v>169</v>
      </c>
      <c r="C54" s="12" t="s">
        <v>90</v>
      </c>
      <c r="D54" t="s">
        <v>161</v>
      </c>
      <c r="E54" s="12" t="s">
        <v>89</v>
      </c>
      <c r="F54" t="s">
        <v>15</v>
      </c>
      <c r="G54" s="12" t="s">
        <v>152</v>
      </c>
    </row>
    <row r="55" spans="1:7" ht="14.25" hidden="1" customHeight="1">
      <c r="C55" s="12"/>
      <c r="D55" t="str">
        <f t="shared" si="0"/>
        <v/>
      </c>
    </row>
    <row r="56" spans="1:7" ht="14.25" hidden="1" customHeight="1">
      <c r="C56" s="12"/>
      <c r="D56" t="str">
        <f t="shared" si="0"/>
        <v/>
      </c>
    </row>
    <row r="57" spans="1:7" ht="14.25" hidden="1" customHeight="1">
      <c r="C57" s="12"/>
      <c r="D57" t="str">
        <f t="shared" si="0"/>
        <v/>
      </c>
    </row>
    <row r="58" spans="1:7" ht="85.5" hidden="1" customHeight="1">
      <c r="C58" s="12"/>
      <c r="D58" t="str">
        <f t="shared" si="0"/>
        <v xml:space="preserve">06 58 03 04 25
</v>
      </c>
      <c r="E58" s="12" t="s">
        <v>91</v>
      </c>
      <c r="F58" t="s">
        <v>15</v>
      </c>
    </row>
    <row r="59" spans="1:7" ht="14.25" hidden="1" customHeight="1">
      <c r="C59" s="12"/>
      <c r="D59" t="str">
        <f t="shared" si="0"/>
        <v/>
      </c>
    </row>
    <row r="60" spans="1:7" ht="14.25" hidden="1" customHeight="1">
      <c r="C60" s="12"/>
      <c r="D60" t="str">
        <f t="shared" si="0"/>
        <v/>
      </c>
    </row>
    <row r="61" spans="1:7" ht="85.5" hidden="1" customHeight="1">
      <c r="C61" s="12"/>
      <c r="D61" t="str">
        <f t="shared" si="0"/>
        <v xml:space="preserve">06 61 19 88 44
</v>
      </c>
      <c r="E61" s="16" t="s">
        <v>92</v>
      </c>
      <c r="F61" t="s">
        <v>15</v>
      </c>
    </row>
    <row r="62" spans="1:7" ht="14.25" hidden="1" customHeight="1">
      <c r="C62" s="12"/>
      <c r="D62" t="str">
        <f t="shared" si="0"/>
        <v/>
      </c>
    </row>
    <row r="63" spans="1:7" ht="14.25" hidden="1" customHeight="1">
      <c r="C63" s="12"/>
      <c r="D63" t="str">
        <f t="shared" si="0"/>
        <v/>
      </c>
    </row>
    <row r="64" spans="1:7" ht="85.5" hidden="1" customHeight="1">
      <c r="C64" s="12"/>
      <c r="D64" t="str">
        <f t="shared" si="0"/>
        <v xml:space="preserve">06 13 61 33 20
</v>
      </c>
      <c r="E64" s="12" t="s">
        <v>94</v>
      </c>
      <c r="F64" s="13" t="s">
        <v>15</v>
      </c>
    </row>
    <row r="65" spans="3:6" ht="14.25" hidden="1" customHeight="1">
      <c r="C65" s="12"/>
      <c r="D65" t="str">
        <f t="shared" si="0"/>
        <v/>
      </c>
    </row>
    <row r="66" spans="3:6" ht="14.25" hidden="1" customHeight="1">
      <c r="C66" s="12"/>
      <c r="D66" t="str">
        <f t="shared" si="0"/>
        <v/>
      </c>
    </row>
    <row r="67" spans="3:6" ht="85.5" hidden="1" customHeight="1">
      <c r="C67" s="12"/>
      <c r="D67" t="str">
        <f t="shared" si="0"/>
        <v xml:space="preserve">06 07 74 08 46
</v>
      </c>
      <c r="E67" s="12" t="s">
        <v>95</v>
      </c>
      <c r="F67" s="13" t="s">
        <v>15</v>
      </c>
    </row>
    <row r="68" spans="3:6" ht="14.25" hidden="1" customHeight="1">
      <c r="C68" s="12"/>
      <c r="D68" t="str">
        <f t="shared" si="0"/>
        <v/>
      </c>
    </row>
    <row r="69" spans="3:6" ht="14.25" hidden="1" customHeight="1">
      <c r="C69" s="12"/>
      <c r="D69" t="str">
        <f t="shared" si="0"/>
        <v/>
      </c>
    </row>
    <row r="70" spans="3:6" ht="85.5" hidden="1" customHeight="1">
      <c r="C70" s="12"/>
      <c r="D70" t="str">
        <f t="shared" si="0"/>
        <v xml:space="preserve">06 85 13 63 62
</v>
      </c>
      <c r="E70" s="12" t="s">
        <v>96</v>
      </c>
      <c r="F70" s="13" t="s">
        <v>15</v>
      </c>
    </row>
    <row r="71" spans="3:6" ht="14.25" hidden="1" customHeight="1">
      <c r="C71" s="12"/>
      <c r="D71" t="str">
        <f t="shared" si="0"/>
        <v/>
      </c>
    </row>
    <row r="72" spans="3:6" ht="14.25" hidden="1" customHeight="1">
      <c r="C72" s="12"/>
      <c r="D72" t="str">
        <f t="shared" si="0"/>
        <v/>
      </c>
    </row>
    <row r="73" spans="3:6" ht="14.25" hidden="1" customHeight="1">
      <c r="C73" s="12"/>
      <c r="D73" t="str">
        <f t="shared" si="0"/>
        <v/>
      </c>
    </row>
    <row r="74" spans="3:6" ht="85.5" hidden="1" customHeight="1">
      <c r="C74" s="12"/>
      <c r="D74" t="str">
        <f t="shared" si="0"/>
        <v xml:space="preserve">06 48 36 84 23
</v>
      </c>
      <c r="E74" s="12" t="s">
        <v>97</v>
      </c>
    </row>
    <row r="75" spans="3:6" ht="14.25" hidden="1" customHeight="1">
      <c r="C75" s="12"/>
      <c r="D75" t="str">
        <f t="shared" si="0"/>
        <v/>
      </c>
    </row>
    <row r="76" spans="3:6" ht="14.25" hidden="1" customHeight="1">
      <c r="C76" s="12"/>
      <c r="D76" t="str">
        <f t="shared" si="0"/>
        <v/>
      </c>
    </row>
    <row r="77" spans="3:6" ht="14.25" hidden="1" customHeight="1">
      <c r="C77" s="12"/>
      <c r="D77" t="str">
        <f t="shared" si="0"/>
        <v/>
      </c>
    </row>
    <row r="78" spans="3:6" ht="14.25" hidden="1" customHeight="1">
      <c r="C78" s="12"/>
      <c r="D78" t="str">
        <f t="shared" si="0"/>
        <v>556350486</v>
      </c>
      <c r="E78">
        <v>556350486</v>
      </c>
    </row>
    <row r="79" spans="3:6" ht="14.25" hidden="1" customHeight="1">
      <c r="C79" s="12"/>
      <c r="D79" t="str">
        <f t="shared" si="0"/>
        <v/>
      </c>
    </row>
    <row r="80" spans="3:6" ht="14.25" hidden="1" customHeight="1">
      <c r="C80" s="12"/>
      <c r="D80" t="str">
        <f t="shared" si="0"/>
        <v/>
      </c>
    </row>
    <row r="81" spans="3:6" ht="99.75" hidden="1" customHeight="1">
      <c r="C81" s="12"/>
      <c r="D81" t="str">
        <f t="shared" si="0"/>
        <v xml:space="preserve">06 28 76 61 21 </v>
      </c>
      <c r="E81" s="12" t="s">
        <v>98</v>
      </c>
      <c r="F81" t="s">
        <v>15</v>
      </c>
    </row>
    <row r="82" spans="3:6" ht="14.25" hidden="1" customHeight="1">
      <c r="C82" s="12"/>
      <c r="D82" t="str">
        <f t="shared" si="0"/>
        <v/>
      </c>
    </row>
    <row r="83" spans="3:6" ht="14.25" hidden="1" customHeight="1">
      <c r="C83" s="12"/>
      <c r="D83" t="str">
        <f t="shared" si="0"/>
        <v/>
      </c>
    </row>
    <row r="84" spans="3:6" ht="99.75" hidden="1" customHeight="1">
      <c r="C84" s="12"/>
      <c r="D84" t="str">
        <f t="shared" si="0"/>
        <v xml:space="preserve">06 95 60 71 44
</v>
      </c>
      <c r="E84" s="12" t="s">
        <v>99</v>
      </c>
      <c r="F84" t="s">
        <v>15</v>
      </c>
    </row>
    <row r="85" spans="3:6" ht="14.25" hidden="1" customHeight="1">
      <c r="C85" s="12"/>
      <c r="D85" t="str">
        <f t="shared" si="0"/>
        <v/>
      </c>
    </row>
    <row r="86" spans="3:6" ht="14.25" hidden="1" customHeight="1">
      <c r="C86" s="12"/>
      <c r="D86" t="str">
        <f t="shared" ref="D86:D149" si="1">IF(E86&lt;&gt;"",LEFT(E86,15),"")</f>
        <v/>
      </c>
    </row>
    <row r="87" spans="3:6" ht="85.5" hidden="1" customHeight="1">
      <c r="C87" s="12"/>
      <c r="D87" t="str">
        <f t="shared" si="1"/>
        <v xml:space="preserve">06 85 15 05 46
</v>
      </c>
      <c r="E87" s="12" t="s">
        <v>100</v>
      </c>
      <c r="F87" t="s">
        <v>15</v>
      </c>
    </row>
    <row r="88" spans="3:6" ht="14.25" hidden="1" customHeight="1">
      <c r="C88" s="12"/>
      <c r="D88" t="str">
        <f t="shared" si="1"/>
        <v/>
      </c>
    </row>
    <row r="89" spans="3:6" ht="14.25" hidden="1" customHeight="1">
      <c r="C89" s="12"/>
      <c r="D89" t="str">
        <f t="shared" si="1"/>
        <v/>
      </c>
    </row>
    <row r="90" spans="3:6" ht="14.25" hidden="1" customHeight="1">
      <c r="C90" s="12"/>
      <c r="D90" t="str">
        <f t="shared" si="1"/>
        <v/>
      </c>
    </row>
    <row r="91" spans="3:6" ht="85.5" hidden="1" customHeight="1">
      <c r="C91" s="12"/>
      <c r="D91" t="str">
        <f t="shared" si="1"/>
        <v xml:space="preserve">07 87 24 17 54
</v>
      </c>
      <c r="E91" s="12" t="s">
        <v>101</v>
      </c>
      <c r="F91" t="s">
        <v>15</v>
      </c>
    </row>
    <row r="92" spans="3:6" ht="14.25" hidden="1" customHeight="1">
      <c r="C92" s="12"/>
      <c r="D92" t="str">
        <f t="shared" si="1"/>
        <v/>
      </c>
    </row>
    <row r="93" spans="3:6" ht="14.25" hidden="1" customHeight="1">
      <c r="C93" s="12"/>
      <c r="D93" t="str">
        <f t="shared" si="1"/>
        <v/>
      </c>
    </row>
    <row r="94" spans="3:6" ht="85.5" hidden="1" customHeight="1">
      <c r="C94" s="12"/>
      <c r="D94" t="str">
        <f t="shared" si="1"/>
        <v xml:space="preserve">06 58 42 91 50
</v>
      </c>
      <c r="E94" s="12" t="s">
        <v>102</v>
      </c>
      <c r="F94" t="s">
        <v>15</v>
      </c>
    </row>
    <row r="95" spans="3:6" ht="14.25" hidden="1" customHeight="1">
      <c r="C95" s="12"/>
      <c r="D95" t="str">
        <f t="shared" si="1"/>
        <v/>
      </c>
    </row>
    <row r="96" spans="3:6" ht="14.25" hidden="1" customHeight="1">
      <c r="C96" s="12"/>
      <c r="D96" t="str">
        <f t="shared" si="1"/>
        <v/>
      </c>
    </row>
    <row r="97" spans="3:6" ht="85.5" hidden="1" customHeight="1">
      <c r="C97" s="12"/>
      <c r="D97" t="str">
        <f t="shared" si="1"/>
        <v xml:space="preserve">07 83 34 13 70
</v>
      </c>
      <c r="E97" s="12" t="s">
        <v>103</v>
      </c>
      <c r="F97" t="s">
        <v>15</v>
      </c>
    </row>
    <row r="98" spans="3:6" ht="14.25" hidden="1" customHeight="1">
      <c r="C98" s="12"/>
      <c r="D98" t="str">
        <f t="shared" si="1"/>
        <v/>
      </c>
    </row>
    <row r="99" spans="3:6" ht="14.25" hidden="1" customHeight="1">
      <c r="C99" s="12"/>
      <c r="D99" t="str">
        <f t="shared" si="1"/>
        <v/>
      </c>
    </row>
    <row r="100" spans="3:6" ht="14.25" hidden="1" customHeight="1">
      <c r="C100" s="12"/>
      <c r="D100" t="str">
        <f t="shared" si="1"/>
        <v/>
      </c>
    </row>
    <row r="101" spans="3:6" ht="99.75" hidden="1" customHeight="1">
      <c r="C101" s="12"/>
      <c r="D101" t="str">
        <f t="shared" si="1"/>
        <v xml:space="preserve">06 26 40 83 58
</v>
      </c>
      <c r="E101" s="12" t="s">
        <v>104</v>
      </c>
    </row>
    <row r="102" spans="3:6" ht="14.25" hidden="1" customHeight="1">
      <c r="C102" s="12"/>
      <c r="D102" t="str">
        <f t="shared" si="1"/>
        <v/>
      </c>
    </row>
    <row r="103" spans="3:6" ht="14.25" hidden="1" customHeight="1">
      <c r="C103" s="12"/>
      <c r="D103" t="str">
        <f t="shared" si="1"/>
        <v/>
      </c>
    </row>
    <row r="104" spans="3:6" ht="14.25" hidden="1" customHeight="1">
      <c r="C104" s="12"/>
      <c r="D104" t="str">
        <f t="shared" si="1"/>
        <v/>
      </c>
    </row>
    <row r="105" spans="3:6" ht="85.5" customHeight="1">
      <c r="C105" s="12" t="s">
        <v>107</v>
      </c>
      <c r="D105" t="str">
        <f t="shared" si="1"/>
        <v xml:space="preserve">06 24 22 87 39
</v>
      </c>
      <c r="E105" s="20" t="s">
        <v>105</v>
      </c>
    </row>
    <row r="106" spans="3:6" ht="14.25" hidden="1" customHeight="1">
      <c r="C106" s="12"/>
      <c r="D106" t="str">
        <f t="shared" si="1"/>
        <v/>
      </c>
    </row>
    <row r="107" spans="3:6" ht="14.25" hidden="1" customHeight="1">
      <c r="C107" s="12"/>
      <c r="D107" t="str">
        <f t="shared" si="1"/>
        <v/>
      </c>
    </row>
    <row r="108" spans="3:6" ht="14.25" hidden="1" customHeight="1">
      <c r="C108" s="12"/>
      <c r="D108" t="str">
        <f t="shared" si="1"/>
        <v/>
      </c>
    </row>
    <row r="109" spans="3:6" ht="99.75" customHeight="1">
      <c r="C109" s="12" t="s">
        <v>109</v>
      </c>
      <c r="D109" t="str">
        <f t="shared" si="1"/>
        <v xml:space="preserve">06 17 52 46 40
</v>
      </c>
      <c r="E109" s="12" t="s">
        <v>106</v>
      </c>
    </row>
    <row r="110" spans="3:6" ht="14.25" hidden="1" customHeight="1">
      <c r="C110" s="12"/>
      <c r="D110" t="str">
        <f t="shared" si="1"/>
        <v/>
      </c>
    </row>
    <row r="111" spans="3:6" ht="14.25" hidden="1" customHeight="1">
      <c r="C111" s="12"/>
      <c r="D111" t="str">
        <f t="shared" si="1"/>
        <v/>
      </c>
    </row>
    <row r="112" spans="3:6" ht="14.25" hidden="1" customHeight="1">
      <c r="C112" s="12"/>
      <c r="D112" t="str">
        <f t="shared" si="1"/>
        <v/>
      </c>
    </row>
    <row r="113" spans="3:7" ht="42.75">
      <c r="C113" s="12" t="s">
        <v>79</v>
      </c>
      <c r="D113" s="12" t="s">
        <v>162</v>
      </c>
      <c r="E113" s="12" t="s">
        <v>108</v>
      </c>
      <c r="G113" t="s">
        <v>153</v>
      </c>
    </row>
    <row r="114" spans="3:7" ht="14.25" hidden="1" customHeight="1">
      <c r="C114" s="12"/>
      <c r="D114" t="str">
        <f t="shared" si="1"/>
        <v/>
      </c>
    </row>
    <row r="115" spans="3:7" ht="14.25" hidden="1" customHeight="1">
      <c r="C115" s="12"/>
      <c r="D115" t="str">
        <f t="shared" si="1"/>
        <v/>
      </c>
    </row>
    <row r="116" spans="3:7" ht="14.25" hidden="1" customHeight="1">
      <c r="C116" s="12"/>
      <c r="D116" t="str">
        <f t="shared" si="1"/>
        <v/>
      </c>
    </row>
    <row r="117" spans="3:7" ht="85.5" hidden="1" customHeight="1">
      <c r="C117" s="12"/>
      <c r="D117" t="str">
        <f t="shared" si="1"/>
        <v xml:space="preserve">07 83 26 13 54
</v>
      </c>
      <c r="E117" s="12" t="s">
        <v>110</v>
      </c>
      <c r="F117" t="s">
        <v>15</v>
      </c>
    </row>
    <row r="118" spans="3:7" ht="14.25" hidden="1" customHeight="1">
      <c r="C118" s="12"/>
      <c r="D118" t="str">
        <f t="shared" si="1"/>
        <v/>
      </c>
    </row>
    <row r="119" spans="3:7" ht="14.25" hidden="1" customHeight="1">
      <c r="C119" s="12"/>
      <c r="D119" t="str">
        <f t="shared" si="1"/>
        <v/>
      </c>
    </row>
    <row r="120" spans="3:7" ht="14.25" hidden="1" customHeight="1">
      <c r="C120" s="12"/>
      <c r="D120" t="str">
        <f t="shared" si="1"/>
        <v/>
      </c>
    </row>
    <row r="121" spans="3:7" ht="71.25" hidden="1" customHeight="1">
      <c r="C121" s="12"/>
      <c r="D121" t="str">
        <f t="shared" si="1"/>
        <v xml:space="preserve">06 98 85 40 09
</v>
      </c>
      <c r="E121" s="12" t="s">
        <v>111</v>
      </c>
      <c r="F121" t="s">
        <v>15</v>
      </c>
    </row>
    <row r="122" spans="3:7" ht="14.25" hidden="1" customHeight="1">
      <c r="C122" s="12"/>
      <c r="D122" t="str">
        <f t="shared" si="1"/>
        <v/>
      </c>
    </row>
    <row r="123" spans="3:7" ht="14.25" hidden="1" customHeight="1">
      <c r="C123" s="12"/>
      <c r="D123" t="str">
        <f t="shared" si="1"/>
        <v/>
      </c>
    </row>
    <row r="124" spans="3:7" ht="71.25" hidden="1" customHeight="1">
      <c r="C124" s="12"/>
      <c r="D124" t="str">
        <f t="shared" si="1"/>
        <v xml:space="preserve">06 50 72 80 72
</v>
      </c>
      <c r="E124" s="12" t="s">
        <v>112</v>
      </c>
      <c r="F124" t="s">
        <v>15</v>
      </c>
    </row>
    <row r="125" spans="3:7" ht="14.25" hidden="1" customHeight="1">
      <c r="C125" s="12"/>
      <c r="D125" t="str">
        <f t="shared" si="1"/>
        <v/>
      </c>
    </row>
    <row r="126" spans="3:7" ht="14.25" hidden="1" customHeight="1">
      <c r="C126" s="12"/>
      <c r="D126" t="str">
        <f t="shared" si="1"/>
        <v/>
      </c>
    </row>
    <row r="127" spans="3:7" ht="14.25" hidden="1" customHeight="1">
      <c r="C127" s="12"/>
      <c r="D127" t="str">
        <f t="shared" si="1"/>
        <v/>
      </c>
    </row>
    <row r="128" spans="3:7" ht="85.5" hidden="1" customHeight="1">
      <c r="C128" s="12"/>
      <c r="D128" t="str">
        <f t="shared" si="1"/>
        <v xml:space="preserve">06 84 18 15 83
</v>
      </c>
      <c r="E128" s="12" t="s">
        <v>113</v>
      </c>
    </row>
    <row r="129" spans="3:6" ht="14.25" hidden="1" customHeight="1">
      <c r="C129" s="12"/>
      <c r="D129" t="str">
        <f t="shared" si="1"/>
        <v/>
      </c>
    </row>
    <row r="130" spans="3:6" ht="14.25" hidden="1" customHeight="1">
      <c r="C130" s="12"/>
      <c r="D130" t="str">
        <f t="shared" si="1"/>
        <v/>
      </c>
    </row>
    <row r="131" spans="3:6" ht="85.5" hidden="1" customHeight="1">
      <c r="C131" s="12"/>
      <c r="D131" t="str">
        <f t="shared" si="1"/>
        <v xml:space="preserve">06 84 38 55 07
</v>
      </c>
      <c r="E131" s="12" t="s">
        <v>114</v>
      </c>
    </row>
    <row r="132" spans="3:6" ht="14.25" hidden="1" customHeight="1">
      <c r="C132" s="12"/>
      <c r="D132" t="str">
        <f t="shared" si="1"/>
        <v/>
      </c>
    </row>
    <row r="133" spans="3:6" ht="14.25" hidden="1" customHeight="1">
      <c r="C133" s="12"/>
      <c r="D133" t="str">
        <f t="shared" si="1"/>
        <v/>
      </c>
    </row>
    <row r="134" spans="3:6" ht="14.25" hidden="1" customHeight="1">
      <c r="C134" s="12"/>
      <c r="D134" t="str">
        <f t="shared" si="1"/>
        <v/>
      </c>
    </row>
    <row r="135" spans="3:6" ht="85.5" hidden="1" customHeight="1">
      <c r="C135" s="12"/>
      <c r="D135" t="str">
        <f t="shared" si="1"/>
        <v xml:space="preserve">06 13 95 29 34
</v>
      </c>
      <c r="E135" s="12" t="s">
        <v>115</v>
      </c>
    </row>
    <row r="136" spans="3:6" ht="14.25" hidden="1" customHeight="1">
      <c r="C136" s="12"/>
      <c r="D136" t="str">
        <f t="shared" si="1"/>
        <v/>
      </c>
    </row>
    <row r="137" spans="3:6" ht="14.25" hidden="1" customHeight="1">
      <c r="C137" s="12"/>
      <c r="D137" t="str">
        <f t="shared" si="1"/>
        <v/>
      </c>
    </row>
    <row r="138" spans="3:6" ht="14.25" hidden="1" customHeight="1">
      <c r="C138" s="12"/>
      <c r="D138" t="str">
        <f t="shared" si="1"/>
        <v/>
      </c>
    </row>
    <row r="139" spans="3:6" ht="99.75" customHeight="1">
      <c r="C139" s="12" t="s">
        <v>118</v>
      </c>
      <c r="D139" t="str">
        <f t="shared" si="1"/>
        <v xml:space="preserve">06 41 80 75 68
</v>
      </c>
      <c r="E139" s="12" t="s">
        <v>116</v>
      </c>
    </row>
    <row r="140" spans="3:6" ht="14.25" hidden="1" customHeight="1">
      <c r="C140" s="12"/>
      <c r="D140" t="str">
        <f t="shared" si="1"/>
        <v/>
      </c>
    </row>
    <row r="141" spans="3:6" ht="14.25" hidden="1" customHeight="1">
      <c r="C141" s="12"/>
      <c r="D141" t="str">
        <f t="shared" si="1"/>
        <v/>
      </c>
    </row>
    <row r="142" spans="3:6" ht="14.25" hidden="1" customHeight="1">
      <c r="C142" s="12"/>
      <c r="D142" t="str">
        <f t="shared" si="1"/>
        <v/>
      </c>
    </row>
    <row r="143" spans="3:6" ht="85.5" hidden="1" customHeight="1">
      <c r="C143" s="12"/>
      <c r="D143" t="str">
        <f t="shared" si="1"/>
        <v xml:space="preserve">06 21 03 99 10
</v>
      </c>
      <c r="E143" s="12" t="s">
        <v>117</v>
      </c>
      <c r="F143" t="s">
        <v>15</v>
      </c>
    </row>
    <row r="144" spans="3:6" ht="14.25" hidden="1" customHeight="1">
      <c r="C144" s="12"/>
      <c r="D144" t="str">
        <f t="shared" si="1"/>
        <v/>
      </c>
    </row>
    <row r="145" spans="1:7" ht="14.25" hidden="1" customHeight="1">
      <c r="C145" s="12"/>
      <c r="D145" t="str">
        <f t="shared" si="1"/>
        <v/>
      </c>
    </row>
    <row r="146" spans="1:7" ht="14.25" hidden="1" customHeight="1">
      <c r="C146" s="12"/>
      <c r="D146" t="str">
        <f t="shared" si="1"/>
        <v/>
      </c>
    </row>
    <row r="147" spans="1:7" ht="42.75">
      <c r="A147" t="s">
        <v>26</v>
      </c>
      <c r="B147" t="s">
        <v>173</v>
      </c>
      <c r="C147" s="12" t="s">
        <v>26</v>
      </c>
      <c r="D147" s="12" t="s">
        <v>163</v>
      </c>
      <c r="E147" s="12" t="s">
        <v>119</v>
      </c>
      <c r="F147" t="s">
        <v>15</v>
      </c>
      <c r="G147" s="12" t="s">
        <v>154</v>
      </c>
    </row>
    <row r="148" spans="1:7" ht="14.25" hidden="1" customHeight="1">
      <c r="C148" s="12"/>
      <c r="D148" t="str">
        <f t="shared" si="1"/>
        <v>ok</v>
      </c>
      <c r="E148" t="s">
        <v>26</v>
      </c>
    </row>
    <row r="149" spans="1:7" ht="14.25" hidden="1" customHeight="1">
      <c r="C149" s="12"/>
      <c r="D149" t="str">
        <f t="shared" si="1"/>
        <v/>
      </c>
    </row>
    <row r="150" spans="1:7" ht="14.25" hidden="1" customHeight="1">
      <c r="C150" s="12"/>
      <c r="D150" t="str">
        <f t="shared" ref="D150:D212" si="2">IF(E150&lt;&gt;"",LEFT(E150,15),"")</f>
        <v/>
      </c>
    </row>
    <row r="151" spans="1:7" ht="14.25" hidden="1" customHeight="1">
      <c r="C151" s="12"/>
      <c r="D151" t="str">
        <f t="shared" si="2"/>
        <v/>
      </c>
    </row>
    <row r="152" spans="1:7" ht="14.25" hidden="1" customHeight="1">
      <c r="C152" s="12"/>
      <c r="D152" t="str">
        <f t="shared" si="2"/>
        <v/>
      </c>
    </row>
    <row r="153" spans="1:7" ht="85.5" hidden="1" customHeight="1">
      <c r="C153" s="12"/>
      <c r="D153" t="str">
        <f t="shared" si="2"/>
        <v xml:space="preserve">06 84 96 12 65
</v>
      </c>
      <c r="E153" s="12" t="s">
        <v>120</v>
      </c>
    </row>
    <row r="154" spans="1:7" ht="14.25" hidden="1" customHeight="1">
      <c r="C154" s="12"/>
      <c r="D154" t="str">
        <f t="shared" si="2"/>
        <v/>
      </c>
    </row>
    <row r="155" spans="1:7" ht="14.25" hidden="1" customHeight="1">
      <c r="C155" s="12"/>
      <c r="D155" t="str">
        <f t="shared" si="2"/>
        <v/>
      </c>
    </row>
    <row r="156" spans="1:7" ht="85.5" hidden="1" customHeight="1">
      <c r="C156" s="12"/>
      <c r="D156" t="str">
        <f t="shared" si="2"/>
        <v xml:space="preserve">06 24 62 00 48
</v>
      </c>
      <c r="E156" s="12" t="s">
        <v>121</v>
      </c>
    </row>
    <row r="157" spans="1:7" ht="14.25" hidden="1" customHeight="1">
      <c r="C157" s="12"/>
      <c r="D157" t="str">
        <f t="shared" si="2"/>
        <v/>
      </c>
    </row>
    <row r="158" spans="1:7" ht="14.25" hidden="1" customHeight="1">
      <c r="C158" s="12"/>
      <c r="D158" t="str">
        <f t="shared" si="2"/>
        <v/>
      </c>
    </row>
    <row r="159" spans="1:7" ht="14.25" hidden="1" customHeight="1">
      <c r="C159" s="12"/>
      <c r="D159" t="str">
        <f t="shared" si="2"/>
        <v/>
      </c>
    </row>
    <row r="160" spans="1:7" ht="99.75" hidden="1" customHeight="1">
      <c r="C160" s="12"/>
      <c r="D160" t="str">
        <f t="shared" si="2"/>
        <v xml:space="preserve">06 61 86 15 67
</v>
      </c>
      <c r="E160" s="12" t="s">
        <v>122</v>
      </c>
    </row>
    <row r="161" spans="2:7" ht="14.25" hidden="1" customHeight="1">
      <c r="C161" s="12"/>
      <c r="D161" t="str">
        <f t="shared" si="2"/>
        <v/>
      </c>
    </row>
    <row r="162" spans="2:7" ht="14.25" hidden="1" customHeight="1">
      <c r="C162" s="12"/>
      <c r="D162" t="str">
        <f t="shared" si="2"/>
        <v/>
      </c>
    </row>
    <row r="163" spans="2:7" ht="14.25" hidden="1" customHeight="1">
      <c r="C163" s="12"/>
      <c r="D163" t="str">
        <f t="shared" si="2"/>
        <v/>
      </c>
    </row>
    <row r="164" spans="2:7" ht="71.25" customHeight="1">
      <c r="B164" s="12" t="s">
        <v>124</v>
      </c>
      <c r="C164" s="12" t="s">
        <v>125</v>
      </c>
      <c r="D164" t="str">
        <f t="shared" si="2"/>
        <v xml:space="preserve">06 29 30 83 90
</v>
      </c>
      <c r="E164" s="12" t="s">
        <v>123</v>
      </c>
    </row>
    <row r="165" spans="2:7" ht="14.25" hidden="1" customHeight="1">
      <c r="C165" s="12"/>
      <c r="D165" t="str">
        <f t="shared" si="2"/>
        <v/>
      </c>
    </row>
    <row r="166" spans="2:7" ht="14.25" hidden="1" customHeight="1">
      <c r="C166" s="12"/>
      <c r="D166" t="str">
        <f t="shared" si="2"/>
        <v/>
      </c>
    </row>
    <row r="167" spans="2:7" ht="14.25" hidden="1" customHeight="1">
      <c r="D167" t="str">
        <f t="shared" si="2"/>
        <v/>
      </c>
    </row>
    <row r="168" spans="2:7" ht="42.75">
      <c r="B168" s="12" t="s">
        <v>174</v>
      </c>
      <c r="C168" s="12" t="s">
        <v>26</v>
      </c>
      <c r="D168" s="12" t="s">
        <v>164</v>
      </c>
      <c r="E168" s="12" t="s">
        <v>126</v>
      </c>
      <c r="G168" s="12" t="s">
        <v>155</v>
      </c>
    </row>
    <row r="169" spans="2:7" ht="14.25" hidden="1" customHeight="1">
      <c r="C169" s="12"/>
      <c r="D169" t="str">
        <f t="shared" si="2"/>
        <v/>
      </c>
    </row>
    <row r="170" spans="2:7" ht="14.25" hidden="1" customHeight="1">
      <c r="C170" s="12"/>
      <c r="D170" t="str">
        <f t="shared" si="2"/>
        <v/>
      </c>
    </row>
    <row r="171" spans="2:7" ht="14.25" hidden="1" customHeight="1">
      <c r="C171" s="12"/>
      <c r="D171" t="str">
        <f t="shared" si="2"/>
        <v/>
      </c>
    </row>
    <row r="172" spans="2:7" ht="14.25" hidden="1" customHeight="1">
      <c r="C172" s="12"/>
      <c r="D172" t="str">
        <f t="shared" si="2"/>
        <v/>
      </c>
    </row>
    <row r="173" spans="2:7" ht="85.5" customHeight="1">
      <c r="C173" s="12" t="s">
        <v>128</v>
      </c>
      <c r="D173" t="str">
        <f t="shared" si="2"/>
        <v xml:space="preserve">07 67 11 10 15
</v>
      </c>
      <c r="E173" s="12" t="s">
        <v>127</v>
      </c>
    </row>
    <row r="174" spans="2:7" ht="14.25" hidden="1" customHeight="1">
      <c r="C174" s="12"/>
      <c r="D174" t="str">
        <f t="shared" si="2"/>
        <v/>
      </c>
    </row>
    <row r="175" spans="2:7" ht="14.25" hidden="1" customHeight="1">
      <c r="C175" s="12"/>
      <c r="D175" t="str">
        <f t="shared" si="2"/>
        <v/>
      </c>
    </row>
    <row r="176" spans="2:7" ht="14.25" hidden="1" customHeight="1">
      <c r="C176" s="12"/>
      <c r="D176" t="str">
        <f t="shared" si="2"/>
        <v/>
      </c>
    </row>
    <row r="177" spans="1:7" ht="85.5" hidden="1" customHeight="1">
      <c r="C177" s="12"/>
      <c r="D177" t="str">
        <f t="shared" si="2"/>
        <v xml:space="preserve">06 46 84 78 46
</v>
      </c>
      <c r="E177" s="12" t="s">
        <v>129</v>
      </c>
      <c r="F177" t="s">
        <v>15</v>
      </c>
    </row>
    <row r="178" spans="1:7" ht="14.25" hidden="1" customHeight="1">
      <c r="C178" s="12"/>
      <c r="D178" t="str">
        <f t="shared" si="2"/>
        <v/>
      </c>
    </row>
    <row r="179" spans="1:7" ht="14.25" hidden="1" customHeight="1">
      <c r="C179" s="12"/>
      <c r="D179" t="str">
        <f t="shared" si="2"/>
        <v/>
      </c>
    </row>
    <row r="180" spans="1:7" ht="42.75">
      <c r="A180" t="s">
        <v>176</v>
      </c>
      <c r="B180" t="s">
        <v>175</v>
      </c>
      <c r="C180" s="12" t="s">
        <v>26</v>
      </c>
      <c r="D180" t="s">
        <v>165</v>
      </c>
      <c r="E180" s="12" t="s">
        <v>130</v>
      </c>
      <c r="G180" t="s">
        <v>156</v>
      </c>
    </row>
    <row r="181" spans="1:7" ht="14.25" hidden="1" customHeight="1">
      <c r="C181" s="12"/>
      <c r="D181" t="str">
        <f t="shared" si="2"/>
        <v/>
      </c>
    </row>
    <row r="182" spans="1:7" ht="14.25" hidden="1" customHeight="1">
      <c r="C182" s="12"/>
      <c r="D182" t="str">
        <f t="shared" si="2"/>
        <v/>
      </c>
    </row>
    <row r="183" spans="1:7" ht="14.25" hidden="1" customHeight="1">
      <c r="C183" s="12"/>
      <c r="D183" t="str">
        <f t="shared" si="2"/>
        <v/>
      </c>
    </row>
    <row r="184" spans="1:7" ht="85.5" hidden="1" customHeight="1">
      <c r="C184" s="12"/>
      <c r="D184" t="str">
        <f t="shared" si="2"/>
        <v xml:space="preserve">07 48 10 60 59
</v>
      </c>
      <c r="E184" s="12" t="s">
        <v>131</v>
      </c>
    </row>
    <row r="185" spans="1:7" ht="14.25" hidden="1" customHeight="1">
      <c r="C185" s="12"/>
      <c r="D185" t="str">
        <f t="shared" si="2"/>
        <v/>
      </c>
    </row>
    <row r="186" spans="1:7" ht="14.25" hidden="1" customHeight="1">
      <c r="C186" s="12"/>
      <c r="D186" t="str">
        <f t="shared" si="2"/>
        <v/>
      </c>
    </row>
    <row r="187" spans="1:7" ht="42.75">
      <c r="A187" t="s">
        <v>26</v>
      </c>
      <c r="B187" t="s">
        <v>177</v>
      </c>
      <c r="C187" s="12" t="s">
        <v>26</v>
      </c>
      <c r="D187" s="12" t="s">
        <v>166</v>
      </c>
      <c r="E187" s="20" t="s">
        <v>132</v>
      </c>
      <c r="G187" t="s">
        <v>157</v>
      </c>
    </row>
    <row r="188" spans="1:7" ht="14.25" hidden="1" customHeight="1">
      <c r="C188" s="12"/>
      <c r="D188" t="str">
        <f t="shared" si="2"/>
        <v/>
      </c>
    </row>
    <row r="189" spans="1:7" ht="14.25" hidden="1" customHeight="1">
      <c r="C189" s="12"/>
      <c r="D189" t="str">
        <f t="shared" si="2"/>
        <v/>
      </c>
    </row>
    <row r="190" spans="1:7" ht="99.75" customHeight="1">
      <c r="C190" s="12" t="s">
        <v>135</v>
      </c>
      <c r="D190" t="str">
        <f t="shared" si="2"/>
        <v xml:space="preserve">06 62 89 08 69
</v>
      </c>
      <c r="E190" s="12" t="s">
        <v>133</v>
      </c>
    </row>
    <row r="191" spans="1:7" ht="14.25" hidden="1" customHeight="1">
      <c r="C191" s="12"/>
      <c r="D191" t="str">
        <f t="shared" si="2"/>
        <v/>
      </c>
    </row>
    <row r="192" spans="1:7" ht="14.25" hidden="1" customHeight="1">
      <c r="C192" s="12"/>
      <c r="D192" t="str">
        <f t="shared" si="2"/>
        <v/>
      </c>
    </row>
    <row r="193" spans="3:6" ht="85.5" customHeight="1">
      <c r="C193" s="12" t="s">
        <v>136</v>
      </c>
      <c r="D193" t="str">
        <f t="shared" si="2"/>
        <v xml:space="preserve">06 70 35 64 24
</v>
      </c>
      <c r="E193" s="12" t="s">
        <v>134</v>
      </c>
    </row>
    <row r="194" spans="3:6" ht="14.25" hidden="1" customHeight="1">
      <c r="C194" s="12"/>
      <c r="D194" t="str">
        <f t="shared" si="2"/>
        <v/>
      </c>
    </row>
    <row r="195" spans="3:6" ht="14.25" hidden="1" customHeight="1">
      <c r="C195" s="12"/>
      <c r="D195" t="str">
        <f t="shared" si="2"/>
        <v/>
      </c>
    </row>
    <row r="196" spans="3:6" ht="14.25" hidden="1" customHeight="1">
      <c r="C196" s="12"/>
      <c r="D196" t="str">
        <f t="shared" si="2"/>
        <v/>
      </c>
    </row>
    <row r="197" spans="3:6" ht="85.5" hidden="1" customHeight="1">
      <c r="C197" s="12"/>
      <c r="D197" t="str">
        <f t="shared" si="2"/>
        <v xml:space="preserve">06 26 85 75 78
</v>
      </c>
      <c r="E197" s="12" t="s">
        <v>137</v>
      </c>
      <c r="F197" t="s">
        <v>15</v>
      </c>
    </row>
    <row r="198" spans="3:6" ht="14.25" hidden="1" customHeight="1">
      <c r="C198" s="12"/>
      <c r="D198" t="str">
        <f t="shared" si="2"/>
        <v/>
      </c>
    </row>
    <row r="199" spans="3:6" ht="14.25" hidden="1" customHeight="1">
      <c r="C199" s="12"/>
      <c r="D199" t="str">
        <f t="shared" si="2"/>
        <v/>
      </c>
    </row>
    <row r="200" spans="3:6" ht="14.25" hidden="1" customHeight="1">
      <c r="C200" s="12"/>
      <c r="D200" t="str">
        <f t="shared" si="2"/>
        <v/>
      </c>
    </row>
    <row r="201" spans="3:6" ht="85.5" hidden="1" customHeight="1">
      <c r="C201" s="12"/>
      <c r="D201" t="str">
        <f t="shared" si="2"/>
        <v xml:space="preserve">06 07 87 56 35
</v>
      </c>
      <c r="E201" s="12" t="s">
        <v>138</v>
      </c>
    </row>
    <row r="202" spans="3:6" ht="14.25" hidden="1" customHeight="1">
      <c r="C202" s="12"/>
      <c r="D202" t="str">
        <f t="shared" si="2"/>
        <v/>
      </c>
    </row>
    <row r="203" spans="3:6" ht="14.25" hidden="1" customHeight="1">
      <c r="C203" s="12"/>
      <c r="D203" t="str">
        <f t="shared" si="2"/>
        <v/>
      </c>
    </row>
    <row r="204" spans="3:6" ht="14.25" hidden="1" customHeight="1">
      <c r="C204" s="12"/>
      <c r="D204" t="str">
        <f t="shared" si="2"/>
        <v/>
      </c>
    </row>
    <row r="205" spans="3:6" ht="85.5" hidden="1" customHeight="1">
      <c r="C205" s="12"/>
      <c r="D205" t="str">
        <f t="shared" si="2"/>
        <v xml:space="preserve">06 16 35 45 37
</v>
      </c>
      <c r="E205" s="12" t="s">
        <v>139</v>
      </c>
    </row>
    <row r="206" spans="3:6" ht="14.25" hidden="1" customHeight="1">
      <c r="C206" s="12"/>
      <c r="D206" t="str">
        <f t="shared" si="2"/>
        <v/>
      </c>
    </row>
    <row r="207" spans="3:6" ht="14.25" hidden="1" customHeight="1">
      <c r="C207" s="12"/>
      <c r="D207" t="str">
        <f t="shared" si="2"/>
        <v/>
      </c>
    </row>
    <row r="208" spans="3:6" ht="14.25" hidden="1" customHeight="1">
      <c r="C208" s="12"/>
      <c r="D208" t="str">
        <f t="shared" si="2"/>
        <v/>
      </c>
    </row>
    <row r="209" spans="1:7" ht="85.5" hidden="1" customHeight="1">
      <c r="C209" s="12"/>
      <c r="D209" t="str">
        <f t="shared" si="2"/>
        <v xml:space="preserve">06 42 17 40 09
</v>
      </c>
      <c r="E209" s="12" t="s">
        <v>140</v>
      </c>
    </row>
    <row r="210" spans="1:7" ht="14.25" hidden="1" customHeight="1">
      <c r="C210" s="12"/>
      <c r="D210" t="str">
        <f t="shared" si="2"/>
        <v/>
      </c>
    </row>
    <row r="211" spans="1:7" ht="14.25" hidden="1" customHeight="1">
      <c r="C211" s="12"/>
      <c r="D211" t="str">
        <f t="shared" si="2"/>
        <v/>
      </c>
    </row>
    <row r="212" spans="1:7" ht="14.25" hidden="1" customHeight="1">
      <c r="C212" s="12"/>
      <c r="D212" t="str">
        <f t="shared" si="2"/>
        <v/>
      </c>
    </row>
    <row r="213" spans="1:7" ht="42.75">
      <c r="A213" t="s">
        <v>178</v>
      </c>
      <c r="C213" s="12" t="s">
        <v>26</v>
      </c>
      <c r="D213" t="s">
        <v>167</v>
      </c>
      <c r="E213" s="12" t="s">
        <v>141</v>
      </c>
      <c r="G213" t="s">
        <v>158</v>
      </c>
    </row>
    <row r="214" spans="1:7" hidden="1">
      <c r="C214" s="12"/>
      <c r="D214" t="str">
        <f t="shared" ref="D214:D248" si="3">IF(E214&lt;&gt;"",LEFT(E214,15),"")</f>
        <v/>
      </c>
    </row>
    <row r="215" spans="1:7" hidden="1">
      <c r="C215" s="12"/>
      <c r="D215" t="str">
        <f t="shared" si="3"/>
        <v/>
      </c>
    </row>
    <row r="216" spans="1:7" hidden="1">
      <c r="C216" s="12"/>
      <c r="D216" t="str">
        <f t="shared" si="3"/>
        <v/>
      </c>
    </row>
    <row r="217" spans="1:7" ht="42.75" hidden="1">
      <c r="C217" s="12"/>
      <c r="D217" t="str">
        <f t="shared" si="3"/>
        <v xml:space="preserve">07 64 17 12 32
</v>
      </c>
      <c r="E217" s="12" t="s">
        <v>142</v>
      </c>
    </row>
    <row r="218" spans="1:7" hidden="1">
      <c r="C218" s="12"/>
      <c r="D218" t="str">
        <f t="shared" si="3"/>
        <v/>
      </c>
    </row>
    <row r="219" spans="1:7" hidden="1">
      <c r="C219" s="12"/>
      <c r="D219" t="str">
        <f t="shared" si="3"/>
        <v/>
      </c>
    </row>
    <row r="220" spans="1:7" hidden="1">
      <c r="C220" s="12"/>
      <c r="D220" t="str">
        <f t="shared" si="3"/>
        <v/>
      </c>
    </row>
    <row r="221" spans="1:7" ht="42.75" hidden="1">
      <c r="C221" s="12"/>
      <c r="D221" t="str">
        <f t="shared" si="3"/>
        <v xml:space="preserve">06 43 34 18 51
</v>
      </c>
      <c r="E221" s="12" t="s">
        <v>143</v>
      </c>
    </row>
    <row r="222" spans="1:7" hidden="1">
      <c r="C222" s="12"/>
      <c r="D222" t="str">
        <f t="shared" si="3"/>
        <v/>
      </c>
    </row>
    <row r="223" spans="1:7" hidden="1">
      <c r="C223" s="12"/>
      <c r="D223" t="str">
        <f t="shared" si="3"/>
        <v/>
      </c>
    </row>
    <row r="224" spans="1:7" hidden="1">
      <c r="C224" s="12"/>
      <c r="D224" t="str">
        <f t="shared" si="3"/>
        <v/>
      </c>
    </row>
    <row r="225" spans="3:4" hidden="1">
      <c r="C225" s="12"/>
      <c r="D225" t="str">
        <f t="shared" si="3"/>
        <v/>
      </c>
    </row>
    <row r="226" spans="3:4" hidden="1">
      <c r="C226" s="12"/>
      <c r="D226" t="str">
        <f t="shared" si="3"/>
        <v/>
      </c>
    </row>
    <row r="227" spans="3:4" hidden="1">
      <c r="C227" s="12"/>
      <c r="D227" t="str">
        <f t="shared" si="3"/>
        <v/>
      </c>
    </row>
    <row r="228" spans="3:4" hidden="1">
      <c r="C228" s="12"/>
      <c r="D228" t="str">
        <f t="shared" si="3"/>
        <v/>
      </c>
    </row>
    <row r="229" spans="3:4" hidden="1">
      <c r="C229" s="12"/>
      <c r="D229" t="str">
        <f t="shared" si="3"/>
        <v/>
      </c>
    </row>
    <row r="230" spans="3:4" hidden="1">
      <c r="C230" s="12"/>
      <c r="D230" t="str">
        <f t="shared" si="3"/>
        <v/>
      </c>
    </row>
    <row r="231" spans="3:4" hidden="1">
      <c r="C231" s="12"/>
      <c r="D231" t="str">
        <f t="shared" si="3"/>
        <v/>
      </c>
    </row>
    <row r="232" spans="3:4" hidden="1">
      <c r="C232" s="12"/>
      <c r="D232" t="str">
        <f t="shared" si="3"/>
        <v/>
      </c>
    </row>
    <row r="233" spans="3:4" hidden="1">
      <c r="C233" s="12"/>
      <c r="D233" t="str">
        <f t="shared" si="3"/>
        <v/>
      </c>
    </row>
    <row r="234" spans="3:4" hidden="1">
      <c r="C234" s="12"/>
      <c r="D234" t="str">
        <f t="shared" si="3"/>
        <v/>
      </c>
    </row>
    <row r="235" spans="3:4" hidden="1">
      <c r="C235" s="12"/>
      <c r="D235" t="str">
        <f t="shared" si="3"/>
        <v/>
      </c>
    </row>
    <row r="236" spans="3:4" hidden="1">
      <c r="C236" s="12"/>
      <c r="D236" t="str">
        <f t="shared" si="3"/>
        <v/>
      </c>
    </row>
    <row r="237" spans="3:4" hidden="1">
      <c r="C237" s="12"/>
      <c r="D237" t="str">
        <f t="shared" si="3"/>
        <v/>
      </c>
    </row>
    <row r="238" spans="3:4" hidden="1">
      <c r="C238" s="12"/>
      <c r="D238" t="str">
        <f t="shared" si="3"/>
        <v/>
      </c>
    </row>
    <row r="239" spans="3:4" hidden="1">
      <c r="C239" s="12"/>
      <c r="D239" t="str">
        <f t="shared" si="3"/>
        <v/>
      </c>
    </row>
    <row r="240" spans="3:4" hidden="1">
      <c r="C240" s="12"/>
      <c r="D240" t="str">
        <f t="shared" si="3"/>
        <v/>
      </c>
    </row>
    <row r="241" spans="3:4" hidden="1">
      <c r="C241" s="12"/>
      <c r="D241" t="str">
        <f t="shared" si="3"/>
        <v/>
      </c>
    </row>
    <row r="242" spans="3:4" hidden="1">
      <c r="C242" s="12"/>
      <c r="D242" t="str">
        <f t="shared" si="3"/>
        <v/>
      </c>
    </row>
    <row r="243" spans="3:4" hidden="1">
      <c r="C243" s="12"/>
      <c r="D243" t="str">
        <f t="shared" si="3"/>
        <v/>
      </c>
    </row>
    <row r="244" spans="3:4" hidden="1">
      <c r="C244" s="12"/>
      <c r="D244" t="str">
        <f t="shared" si="3"/>
        <v/>
      </c>
    </row>
    <row r="245" spans="3:4" hidden="1">
      <c r="C245" s="12"/>
      <c r="D245" t="str">
        <f t="shared" si="3"/>
        <v/>
      </c>
    </row>
    <row r="246" spans="3:4" hidden="1">
      <c r="C246" s="12"/>
      <c r="D246" t="str">
        <f t="shared" si="3"/>
        <v/>
      </c>
    </row>
    <row r="247" spans="3:4" hidden="1">
      <c r="C247" s="12"/>
      <c r="D247" t="str">
        <f t="shared" si="3"/>
        <v/>
      </c>
    </row>
    <row r="248" spans="3:4" hidden="1">
      <c r="C248" s="12"/>
      <c r="D248" t="str">
        <f t="shared" si="3"/>
        <v/>
      </c>
    </row>
  </sheetData>
  <autoFilter ref="B1:F248">
    <filterColumn colId="1">
      <customFilters>
        <customFilter operator="notEqual" val=" "/>
      </customFilters>
    </filterColumn>
  </autoFilter>
  <dataValidations count="1">
    <dataValidation type="list" allowBlank="1" showInputMessage="1" showErrorMessage="1" sqref="B14 F19:F234">
      <formula1>$B$13:$B$14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Console</vt:lpstr>
      <vt:lpstr>Legend</vt:lpstr>
      <vt:lpstr>DataBase</vt:lpstr>
      <vt:lpstr>Feuil1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Daoui</dc:creator>
  <cp:lastModifiedBy>USER1</cp:lastModifiedBy>
  <dcterms:created xsi:type="dcterms:W3CDTF">2025-03-05T20:13:38Z</dcterms:created>
  <dcterms:modified xsi:type="dcterms:W3CDTF">2025-03-08T11:23:46Z</dcterms:modified>
</cp:coreProperties>
</file>