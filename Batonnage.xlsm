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bookViews>
    <workbookView xWindow="-120" yWindow="-120" windowWidth="15510" windowHeight="8430"/>
  </bookViews>
  <sheets>
    <sheet name="Console" sheetId="1" r:id="rId1"/>
    <sheet name="Legend" sheetId="2" r:id="rId2"/>
    <sheet name="DataBase" sheetId="3" r:id="rId3"/>
    <sheet name="Feuil1" sheetId="4" r:id="rId4"/>
    <sheet name="Rappel" sheetId="5" r:id="rId5"/>
  </sheets>
  <definedNames>
    <definedName name="_xlnm._FilterDatabase" localSheetId="2" hidden="1">DataBase!$A$10:$M$1626</definedName>
    <definedName name="_xlnm._FilterDatabase" localSheetId="3" hidden="1">Feuil1!$B$1:$F$248</definedName>
  </definedNames>
  <calcPr calcId="124519"/>
  <fileRecoveryPr repairLoad="1"/>
</workbook>
</file>

<file path=xl/calcChain.xml><?xml version="1.0" encoding="utf-8"?>
<calcChain xmlns="http://schemas.openxmlformats.org/spreadsheetml/2006/main">
  <c r="E8" i="1"/>
  <c r="A51" i="3"/>
  <c r="A53"/>
  <c r="A54"/>
  <c r="A55"/>
  <c r="A56"/>
  <c r="A57"/>
  <c r="A58"/>
  <c r="A59"/>
  <c r="A60"/>
  <c r="A61"/>
  <c r="A62"/>
  <c r="A63"/>
  <c r="A64"/>
  <c r="A65"/>
  <c r="A66"/>
  <c r="A67"/>
  <c r="A68"/>
  <c r="A69"/>
  <c r="A70"/>
  <c r="A71"/>
  <c r="A72"/>
  <c r="A73"/>
  <c r="A74"/>
  <c r="A75"/>
  <c r="A76"/>
  <c r="A77"/>
  <c r="A78"/>
  <c r="A79"/>
  <c r="A80"/>
  <c r="A81"/>
  <c r="A82"/>
  <c r="A83"/>
  <c r="A84"/>
  <c r="A85"/>
  <c r="A86"/>
  <c r="A87"/>
  <c r="A88"/>
  <c r="A89"/>
  <c r="A90"/>
  <c r="A91"/>
  <c r="A92"/>
  <c r="A93"/>
  <c r="A94"/>
  <c r="A95"/>
  <c r="A96"/>
  <c r="A97"/>
  <c r="A98"/>
  <c r="A99"/>
  <c r="A100"/>
  <c r="A101"/>
  <c r="A102"/>
  <c r="A103"/>
  <c r="A104"/>
  <c r="A105"/>
  <c r="A106"/>
  <c r="A107"/>
  <c r="A108"/>
  <c r="A109"/>
  <c r="A110"/>
  <c r="A111"/>
  <c r="A112"/>
  <c r="A113"/>
  <c r="A114"/>
  <c r="A115"/>
  <c r="A116"/>
  <c r="A117"/>
  <c r="A118"/>
  <c r="A119"/>
  <c r="A120"/>
  <c r="A121"/>
  <c r="A122"/>
  <c r="A123"/>
  <c r="A124"/>
  <c r="A125"/>
  <c r="A126"/>
  <c r="A127"/>
  <c r="A128"/>
  <c r="A129"/>
  <c r="A130"/>
  <c r="A131"/>
  <c r="A132"/>
  <c r="A133"/>
  <c r="A134"/>
  <c r="A135"/>
  <c r="A136"/>
  <c r="A137"/>
  <c r="A138"/>
  <c r="A139"/>
  <c r="A140"/>
  <c r="A141"/>
  <c r="A142"/>
  <c r="A143"/>
  <c r="A144"/>
  <c r="A145"/>
  <c r="A146"/>
  <c r="A147"/>
  <c r="A148"/>
  <c r="A149"/>
  <c r="A150"/>
  <c r="A151"/>
  <c r="A152"/>
  <c r="A153"/>
  <c r="A154"/>
  <c r="A155"/>
  <c r="A156"/>
  <c r="A157"/>
  <c r="A158"/>
  <c r="A159"/>
  <c r="A160"/>
  <c r="A161"/>
  <c r="A162"/>
  <c r="A163"/>
  <c r="A164"/>
  <c r="A165"/>
  <c r="A166"/>
  <c r="A167"/>
  <c r="A168"/>
  <c r="A169"/>
  <c r="A170"/>
  <c r="A171"/>
  <c r="A172"/>
  <c r="A173"/>
  <c r="A174"/>
  <c r="A175"/>
  <c r="A176"/>
  <c r="A177"/>
  <c r="A178"/>
  <c r="A179"/>
  <c r="A180"/>
  <c r="A181"/>
  <c r="A182"/>
  <c r="A183"/>
  <c r="A184"/>
  <c r="A185"/>
  <c r="A186"/>
  <c r="A187"/>
  <c r="A188"/>
  <c r="A189"/>
  <c r="A190"/>
  <c r="A191"/>
  <c r="A192"/>
  <c r="A193"/>
  <c r="A194"/>
  <c r="A195"/>
  <c r="A196"/>
  <c r="A197"/>
  <c r="A198"/>
  <c r="A199"/>
  <c r="A200"/>
  <c r="A201"/>
  <c r="A202"/>
  <c r="A203"/>
  <c r="A204"/>
  <c r="A205"/>
  <c r="A206"/>
  <c r="A207"/>
  <c r="A208"/>
  <c r="A209"/>
  <c r="A210"/>
  <c r="A211"/>
  <c r="A212"/>
  <c r="A213"/>
  <c r="A214"/>
  <c r="A215"/>
  <c r="A216"/>
  <c r="A217"/>
  <c r="A218"/>
  <c r="A219"/>
  <c r="A220"/>
  <c r="A221"/>
  <c r="A222"/>
  <c r="A223"/>
  <c r="A224"/>
  <c r="A225"/>
  <c r="A226"/>
  <c r="A227"/>
  <c r="A228"/>
  <c r="A229"/>
  <c r="A230"/>
  <c r="A231"/>
  <c r="A232"/>
  <c r="A233"/>
  <c r="A234"/>
  <c r="A235"/>
  <c r="A236"/>
  <c r="A237"/>
  <c r="A238"/>
  <c r="A239"/>
  <c r="A240"/>
  <c r="A241"/>
  <c r="A242"/>
  <c r="A243"/>
  <c r="A244"/>
  <c r="A245"/>
  <c r="A246"/>
  <c r="A247"/>
  <c r="A248"/>
  <c r="A249"/>
  <c r="A250"/>
  <c r="A251"/>
  <c r="A252"/>
  <c r="A253"/>
  <c r="A254"/>
  <c r="A255"/>
  <c r="A256"/>
  <c r="A257"/>
  <c r="A258"/>
  <c r="A259"/>
  <c r="A260"/>
  <c r="A261"/>
  <c r="A262"/>
  <c r="A263"/>
  <c r="A264"/>
  <c r="A265"/>
  <c r="A266"/>
  <c r="A267"/>
  <c r="A268"/>
  <c r="A269"/>
  <c r="A270"/>
  <c r="A271"/>
  <c r="A272"/>
  <c r="A273"/>
  <c r="A274"/>
  <c r="A275"/>
  <c r="A276"/>
  <c r="A277"/>
  <c r="A278"/>
  <c r="A279"/>
  <c r="A280"/>
  <c r="A281"/>
  <c r="A282"/>
  <c r="A283"/>
  <c r="A284"/>
  <c r="A285"/>
  <c r="A286"/>
  <c r="B51"/>
  <c r="B53"/>
  <c r="B54"/>
  <c r="B55"/>
  <c r="B56"/>
  <c r="B57"/>
  <c r="B58"/>
  <c r="B59"/>
  <c r="B60"/>
  <c r="B61"/>
  <c r="B62"/>
  <c r="B63"/>
  <c r="B64"/>
  <c r="B65"/>
  <c r="B66"/>
  <c r="B67"/>
  <c r="B68"/>
  <c r="B69"/>
  <c r="B70"/>
  <c r="B71"/>
  <c r="B72"/>
  <c r="B73"/>
  <c r="B74"/>
  <c r="B75"/>
  <c r="B76"/>
  <c r="B77"/>
  <c r="B78"/>
  <c r="B79"/>
  <c r="B80"/>
  <c r="B81"/>
  <c r="B82"/>
  <c r="B83"/>
  <c r="B84"/>
  <c r="B85"/>
  <c r="B86"/>
  <c r="B87"/>
  <c r="B88"/>
  <c r="B89"/>
  <c r="B90"/>
  <c r="B91"/>
  <c r="B92"/>
  <c r="B93"/>
  <c r="B94"/>
  <c r="B95"/>
  <c r="B96"/>
  <c r="B97"/>
  <c r="B98"/>
  <c r="B99"/>
  <c r="B100"/>
  <c r="B101"/>
  <c r="B102"/>
  <c r="B103"/>
  <c r="B104"/>
  <c r="B105"/>
  <c r="B106"/>
  <c r="B107"/>
  <c r="B108"/>
  <c r="B109"/>
  <c r="B110"/>
  <c r="B111"/>
  <c r="B112"/>
  <c r="B113"/>
  <c r="B114"/>
  <c r="B115"/>
  <c r="B116"/>
  <c r="B117"/>
  <c r="B118"/>
  <c r="B119"/>
  <c r="B120"/>
  <c r="B121"/>
  <c r="B122"/>
  <c r="B123"/>
  <c r="B124"/>
  <c r="B125"/>
  <c r="B126"/>
  <c r="B127"/>
  <c r="B128"/>
  <c r="B129"/>
  <c r="B130"/>
  <c r="B131"/>
  <c r="B132"/>
  <c r="B133"/>
  <c r="B134"/>
  <c r="B135"/>
  <c r="B136"/>
  <c r="B137"/>
  <c r="B138"/>
  <c r="B139"/>
  <c r="B140"/>
  <c r="B141"/>
  <c r="B142"/>
  <c r="B143"/>
  <c r="B144"/>
  <c r="B145"/>
  <c r="B146"/>
  <c r="B147"/>
  <c r="B148"/>
  <c r="B149"/>
  <c r="B150"/>
  <c r="B151"/>
  <c r="B152"/>
  <c r="B153"/>
  <c r="B154"/>
  <c r="B155"/>
  <c r="B156"/>
  <c r="B157"/>
  <c r="B158"/>
  <c r="B159"/>
  <c r="B160"/>
  <c r="B161"/>
  <c r="B162"/>
  <c r="B163"/>
  <c r="B164"/>
  <c r="B165"/>
  <c r="B166"/>
  <c r="B167"/>
  <c r="B168"/>
  <c r="B169"/>
  <c r="B170"/>
  <c r="B171"/>
  <c r="B172"/>
  <c r="B173"/>
  <c r="B174"/>
  <c r="B175"/>
  <c r="B176"/>
  <c r="B177"/>
  <c r="B178"/>
  <c r="B179"/>
  <c r="B180"/>
  <c r="B181"/>
  <c r="B182"/>
  <c r="B183"/>
  <c r="B184"/>
  <c r="B185"/>
  <c r="B186"/>
  <c r="B187"/>
  <c r="B188"/>
  <c r="B189"/>
  <c r="B190"/>
  <c r="B191"/>
  <c r="B192"/>
  <c r="B193"/>
  <c r="B194"/>
  <c r="B195"/>
  <c r="B196"/>
  <c r="B197"/>
  <c r="B198"/>
  <c r="B199"/>
  <c r="B200"/>
  <c r="B201"/>
  <c r="B202"/>
  <c r="B203"/>
  <c r="B204"/>
  <c r="B205"/>
  <c r="B206"/>
  <c r="B207"/>
  <c r="B208"/>
  <c r="B209"/>
  <c r="B210"/>
  <c r="B211"/>
  <c r="B212"/>
  <c r="B213"/>
  <c r="B214"/>
  <c r="B215"/>
  <c r="B216"/>
  <c r="B217"/>
  <c r="B218"/>
  <c r="B219"/>
  <c r="B220"/>
  <c r="B221"/>
  <c r="B222"/>
  <c r="B223"/>
  <c r="B224"/>
  <c r="B225"/>
  <c r="B226"/>
  <c r="B227"/>
  <c r="B228"/>
  <c r="B229"/>
  <c r="B230"/>
  <c r="B231"/>
  <c r="B232"/>
  <c r="B233"/>
  <c r="B234"/>
  <c r="B235"/>
  <c r="B236"/>
  <c r="B237"/>
  <c r="B238"/>
  <c r="B239"/>
  <c r="B240"/>
  <c r="B241"/>
  <c r="B242"/>
  <c r="B243"/>
  <c r="B244"/>
  <c r="B245"/>
  <c r="B246"/>
  <c r="B247"/>
  <c r="B248"/>
  <c r="B249"/>
  <c r="B250"/>
  <c r="B251"/>
  <c r="B252"/>
  <c r="B253"/>
  <c r="B254"/>
  <c r="B255"/>
  <c r="B256"/>
  <c r="B257"/>
  <c r="B258"/>
  <c r="B259"/>
  <c r="B260"/>
  <c r="B261"/>
  <c r="B262"/>
  <c r="B263"/>
  <c r="B264"/>
  <c r="B265"/>
  <c r="B266"/>
  <c r="B267"/>
  <c r="B268"/>
  <c r="B269"/>
  <c r="B270"/>
  <c r="B271"/>
  <c r="B272"/>
  <c r="B273"/>
  <c r="B274"/>
  <c r="B275"/>
  <c r="B276"/>
  <c r="B277"/>
  <c r="B278"/>
  <c r="B279"/>
  <c r="B280"/>
  <c r="B281"/>
  <c r="B282"/>
  <c r="B283"/>
  <c r="B284"/>
  <c r="B285"/>
  <c r="B286"/>
  <c r="C51"/>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18"/>
  <c r="C19"/>
  <c r="C20"/>
  <c r="C21"/>
  <c r="C22"/>
  <c r="C23"/>
  <c r="C24"/>
  <c r="C25"/>
  <c r="C26"/>
  <c r="C27"/>
  <c r="C28"/>
  <c r="C29"/>
  <c r="C30"/>
  <c r="C31"/>
  <c r="C32"/>
  <c r="C33"/>
  <c r="C34"/>
  <c r="C35"/>
  <c r="C36"/>
  <c r="C37"/>
  <c r="C38"/>
  <c r="C39"/>
  <c r="C40"/>
  <c r="C41"/>
  <c r="C42"/>
  <c r="C43"/>
  <c r="C44"/>
  <c r="C45"/>
  <c r="C52"/>
  <c r="C46"/>
  <c r="C47"/>
  <c r="C48"/>
  <c r="C49"/>
  <c r="C50"/>
  <c r="C17"/>
  <c r="C3" i="5" a="1"/>
  <c r="C3" s="1"/>
  <c r="C11" i="3" l="1"/>
  <c r="C12"/>
  <c r="C13"/>
  <c r="C14"/>
  <c r="C15"/>
  <c r="C16"/>
  <c r="B11"/>
  <c r="B12"/>
  <c r="B13"/>
  <c r="B14"/>
  <c r="B15"/>
  <c r="B16"/>
  <c r="B17"/>
  <c r="B18"/>
  <c r="B19"/>
  <c r="B20"/>
  <c r="B21"/>
  <c r="B22"/>
  <c r="B23"/>
  <c r="B24"/>
  <c r="B25"/>
  <c r="B26"/>
  <c r="B27"/>
  <c r="B28"/>
  <c r="B29"/>
  <c r="B30"/>
  <c r="B31"/>
  <c r="B32"/>
  <c r="B33"/>
  <c r="B34"/>
  <c r="B35"/>
  <c r="B36"/>
  <c r="B37"/>
  <c r="B38"/>
  <c r="B39"/>
  <c r="B40"/>
  <c r="B41"/>
  <c r="B42"/>
  <c r="B43"/>
  <c r="B44"/>
  <c r="B45"/>
  <c r="B52"/>
  <c r="B46"/>
  <c r="B47"/>
  <c r="B48"/>
  <c r="B49"/>
  <c r="B50"/>
  <c r="L31" i="1"/>
  <c r="E3"/>
  <c r="D11" i="3"/>
  <c r="F3" i="1"/>
  <c r="D34" s="1"/>
  <c r="K31"/>
  <c r="I31"/>
  <c r="H31"/>
  <c r="G31"/>
  <c r="F31"/>
  <c r="E31"/>
  <c r="G11" l="1" a="1"/>
  <c r="G11" s="1"/>
  <c r="H13" a="1"/>
  <c r="H13" s="1"/>
  <c r="H12" a="1"/>
  <c r="H12" s="1"/>
  <c r="J8" a="1"/>
  <c r="J8" s="1"/>
  <c r="H8" a="1"/>
  <c r="H8" s="1"/>
  <c r="H15" a="1"/>
  <c r="H15" s="1"/>
  <c r="I8" a="1"/>
  <c r="I8" s="1"/>
  <c r="H14" a="1"/>
  <c r="H14" s="1"/>
  <c r="H11" a="1"/>
  <c r="H11" s="1"/>
  <c r="J15" a="1"/>
  <c r="J15" s="1"/>
  <c r="J11" a="1"/>
  <c r="J11" s="1"/>
  <c r="I11" a="1"/>
  <c r="I11" s="1"/>
  <c r="A22" i="3"/>
  <c r="A23"/>
  <c r="A24"/>
  <c r="A25"/>
  <c r="A26"/>
  <c r="A27"/>
  <c r="A28"/>
  <c r="A29"/>
  <c r="A30"/>
  <c r="A31"/>
  <c r="A32"/>
  <c r="A33"/>
  <c r="A34"/>
  <c r="A35"/>
  <c r="A36"/>
  <c r="A37"/>
  <c r="A38"/>
  <c r="A39"/>
  <c r="A40"/>
  <c r="A41"/>
  <c r="A42"/>
  <c r="A43"/>
  <c r="A44"/>
  <c r="A45"/>
  <c r="A52"/>
  <c r="A46"/>
  <c r="A47"/>
  <c r="A48"/>
  <c r="A49"/>
  <c r="A50"/>
  <c r="G2" i="1"/>
  <c r="G1"/>
  <c r="D12" i="3"/>
  <c r="D13"/>
  <c r="D14"/>
  <c r="D15"/>
  <c r="D16"/>
  <c r="D17"/>
  <c r="D18"/>
  <c r="D19"/>
  <c r="D20"/>
  <c r="D21"/>
  <c r="D22"/>
  <c r="D23"/>
  <c r="D24"/>
  <c r="D25"/>
  <c r="D26"/>
  <c r="D27"/>
  <c r="D28"/>
  <c r="D29"/>
  <c r="D30"/>
  <c r="D31"/>
  <c r="D32"/>
  <c r="D33"/>
  <c r="D34"/>
  <c r="D35"/>
  <c r="D36"/>
  <c r="D37"/>
  <c r="D38"/>
  <c r="D39"/>
  <c r="D40"/>
  <c r="D41"/>
  <c r="D42"/>
  <c r="D43"/>
  <c r="D44"/>
  <c r="D45"/>
  <c r="D52"/>
  <c r="D46"/>
  <c r="D47"/>
  <c r="D48"/>
  <c r="D49"/>
  <c r="D50"/>
  <c r="D51"/>
  <c r="D53"/>
  <c r="D54"/>
  <c r="D55"/>
  <c r="D56"/>
  <c r="D57"/>
  <c r="D58"/>
  <c r="D59"/>
  <c r="D60"/>
  <c r="D61"/>
  <c r="D62"/>
  <c r="D63"/>
  <c r="D64"/>
  <c r="D65"/>
  <c r="D66"/>
  <c r="D67"/>
  <c r="D68"/>
  <c r="D69"/>
  <c r="D70"/>
  <c r="D71"/>
  <c r="D72"/>
  <c r="D73"/>
  <c r="D74"/>
  <c r="D75"/>
  <c r="D76"/>
  <c r="D77"/>
  <c r="D78"/>
  <c r="D79"/>
  <c r="D80"/>
  <c r="D81"/>
  <c r="D82"/>
  <c r="D83"/>
  <c r="D84"/>
  <c r="D85"/>
  <c r="D86"/>
  <c r="D87"/>
  <c r="D88"/>
  <c r="D89"/>
  <c r="D90"/>
  <c r="D91"/>
  <c r="D92"/>
  <c r="D93"/>
  <c r="D94"/>
  <c r="D95"/>
  <c r="D96"/>
  <c r="D97"/>
  <c r="D98"/>
  <c r="D99"/>
  <c r="D100"/>
  <c r="D101"/>
  <c r="D102"/>
  <c r="D103"/>
  <c r="D104"/>
  <c r="D105"/>
  <c r="D106"/>
  <c r="D107"/>
  <c r="D108"/>
  <c r="D109"/>
  <c r="D110"/>
  <c r="D111"/>
  <c r="D112"/>
  <c r="D113"/>
  <c r="D114"/>
  <c r="D115"/>
  <c r="D116"/>
  <c r="D117"/>
  <c r="D118"/>
  <c r="D119"/>
  <c r="D120"/>
  <c r="D121"/>
  <c r="D122"/>
  <c r="D123"/>
  <c r="D124"/>
  <c r="D125"/>
  <c r="D126"/>
  <c r="D127"/>
  <c r="D128"/>
  <c r="D129"/>
  <c r="D130"/>
  <c r="D131"/>
  <c r="D132"/>
  <c r="D133"/>
  <c r="D134"/>
  <c r="D135"/>
  <c r="D136"/>
  <c r="D137"/>
  <c r="D138"/>
  <c r="D139"/>
  <c r="D140"/>
  <c r="D141"/>
  <c r="D142"/>
  <c r="D143"/>
  <c r="D144"/>
  <c r="D145"/>
  <c r="D146"/>
  <c r="D147"/>
  <c r="D148"/>
  <c r="D149"/>
  <c r="D150"/>
  <c r="D151"/>
  <c r="D152"/>
  <c r="D153"/>
  <c r="D154"/>
  <c r="D155"/>
  <c r="D156"/>
  <c r="D157"/>
  <c r="D158"/>
  <c r="D159"/>
  <c r="D160"/>
  <c r="D161"/>
  <c r="D162"/>
  <c r="D163"/>
  <c r="D164"/>
  <c r="D165"/>
  <c r="D166"/>
  <c r="D167"/>
  <c r="D168"/>
  <c r="D169"/>
  <c r="D170"/>
  <c r="D171"/>
  <c r="D172"/>
  <c r="D173"/>
  <c r="D174"/>
  <c r="D175"/>
  <c r="D176"/>
  <c r="D177"/>
  <c r="D178"/>
  <c r="D179"/>
  <c r="D180"/>
  <c r="D181"/>
  <c r="D182"/>
  <c r="D183"/>
  <c r="D184"/>
  <c r="D185"/>
  <c r="D186"/>
  <c r="D187"/>
  <c r="D188"/>
  <c r="D189"/>
  <c r="D190"/>
  <c r="D191"/>
  <c r="D192"/>
  <c r="D193"/>
  <c r="D194"/>
  <c r="D195"/>
  <c r="D196"/>
  <c r="D197"/>
  <c r="D198"/>
  <c r="D199"/>
  <c r="D200"/>
  <c r="D201"/>
  <c r="D202"/>
  <c r="D203"/>
  <c r="D204"/>
  <c r="D205"/>
  <c r="D206"/>
  <c r="D207"/>
  <c r="D208"/>
  <c r="D209"/>
  <c r="D210"/>
  <c r="D211"/>
  <c r="D212"/>
  <c r="D213"/>
  <c r="D214"/>
  <c r="D215"/>
  <c r="D216"/>
  <c r="D217"/>
  <c r="D218"/>
  <c r="D219"/>
  <c r="D220"/>
  <c r="D221"/>
  <c r="D222"/>
  <c r="D223"/>
  <c r="D224"/>
  <c r="D225"/>
  <c r="D226"/>
  <c r="D227"/>
  <c r="D228"/>
  <c r="D229"/>
  <c r="D230"/>
  <c r="D231"/>
  <c r="D232"/>
  <c r="D233"/>
  <c r="D234"/>
  <c r="D235"/>
  <c r="D236"/>
  <c r="D237"/>
  <c r="D238"/>
  <c r="D239"/>
  <c r="D240"/>
  <c r="D241"/>
  <c r="D242"/>
  <c r="D243"/>
  <c r="D244"/>
  <c r="D245"/>
  <c r="D246"/>
  <c r="D247"/>
  <c r="D248"/>
  <c r="D249"/>
  <c r="D250"/>
  <c r="D251"/>
  <c r="D252"/>
  <c r="D253"/>
  <c r="D254"/>
  <c r="D255"/>
  <c r="D256"/>
  <c r="D257"/>
  <c r="D258"/>
  <c r="D259"/>
  <c r="D260"/>
  <c r="D261"/>
  <c r="D262"/>
  <c r="D263"/>
  <c r="D264"/>
  <c r="D265"/>
  <c r="D266"/>
  <c r="D267"/>
  <c r="D268"/>
  <c r="D269"/>
  <c r="D270"/>
  <c r="D271"/>
  <c r="D272"/>
  <c r="D273"/>
  <c r="D274"/>
  <c r="D275"/>
  <c r="D276"/>
  <c r="D277"/>
  <c r="D278"/>
  <c r="D279"/>
  <c r="D280"/>
  <c r="D281"/>
  <c r="D282"/>
  <c r="D283"/>
  <c r="D284"/>
  <c r="D285"/>
  <c r="D286"/>
  <c r="D287"/>
  <c r="D288"/>
  <c r="D289"/>
  <c r="D290"/>
  <c r="D291"/>
  <c r="D292"/>
  <c r="D293"/>
  <c r="D294"/>
  <c r="D295"/>
  <c r="D296"/>
  <c r="D297"/>
  <c r="D298"/>
  <c r="D299"/>
  <c r="D300"/>
  <c r="D301"/>
  <c r="D302"/>
  <c r="D303"/>
  <c r="D304"/>
  <c r="D305"/>
  <c r="D306"/>
  <c r="D307"/>
  <c r="D308"/>
  <c r="D309"/>
  <c r="D310"/>
  <c r="D311"/>
  <c r="D312"/>
  <c r="D313"/>
  <c r="D314"/>
  <c r="D315"/>
  <c r="D316"/>
  <c r="D317"/>
  <c r="D318"/>
  <c r="D319"/>
  <c r="D320"/>
  <c r="D321"/>
  <c r="D322"/>
  <c r="D323"/>
  <c r="D324"/>
  <c r="D325"/>
  <c r="D326"/>
  <c r="D327"/>
  <c r="D328"/>
  <c r="D329"/>
  <c r="D330"/>
  <c r="D331"/>
  <c r="D332"/>
  <c r="D333"/>
  <c r="D334"/>
  <c r="D335"/>
  <c r="D336"/>
  <c r="D337"/>
  <c r="D338"/>
  <c r="D339"/>
  <c r="D340"/>
  <c r="D341"/>
  <c r="D342"/>
  <c r="D343"/>
  <c r="D344"/>
  <c r="D345"/>
  <c r="D346"/>
  <c r="D347"/>
  <c r="D348"/>
  <c r="D349"/>
  <c r="D350"/>
  <c r="D351"/>
  <c r="D352"/>
  <c r="D353"/>
  <c r="D354"/>
  <c r="D355"/>
  <c r="D356"/>
  <c r="D357"/>
  <c r="D358"/>
  <c r="D359"/>
  <c r="D360"/>
  <c r="D361"/>
  <c r="D362"/>
  <c r="D363"/>
  <c r="D364"/>
  <c r="D365"/>
  <c r="D366"/>
  <c r="D367"/>
  <c r="D368"/>
  <c r="D369"/>
  <c r="D370"/>
  <c r="D371"/>
  <c r="D372"/>
  <c r="D373"/>
  <c r="D374"/>
  <c r="D375"/>
  <c r="D376"/>
  <c r="D377"/>
  <c r="D378"/>
  <c r="D379"/>
  <c r="D380"/>
  <c r="D381"/>
  <c r="D382"/>
  <c r="D383"/>
  <c r="D384"/>
  <c r="D385"/>
  <c r="D386"/>
  <c r="D387"/>
  <c r="D388"/>
  <c r="D389"/>
  <c r="D390"/>
  <c r="D391"/>
  <c r="D392"/>
  <c r="D393"/>
  <c r="D394"/>
  <c r="D395"/>
  <c r="D396"/>
  <c r="D397"/>
  <c r="D398"/>
  <c r="D399"/>
  <c r="D400"/>
  <c r="D401"/>
  <c r="D402"/>
  <c r="D403"/>
  <c r="D404"/>
  <c r="D405"/>
  <c r="D406"/>
  <c r="D407"/>
  <c r="D408"/>
  <c r="D409"/>
  <c r="D410"/>
  <c r="D411"/>
  <c r="D412"/>
  <c r="D413"/>
  <c r="D414"/>
  <c r="D415"/>
  <c r="D416"/>
  <c r="D417"/>
  <c r="D418"/>
  <c r="D419"/>
  <c r="D420"/>
  <c r="D421"/>
  <c r="D422"/>
  <c r="D423"/>
  <c r="D424"/>
  <c r="D425"/>
  <c r="D426"/>
  <c r="D427"/>
  <c r="D428"/>
  <c r="D429"/>
  <c r="D430"/>
  <c r="D431"/>
  <c r="D432"/>
  <c r="D433"/>
  <c r="D434"/>
  <c r="D435"/>
  <c r="D436"/>
  <c r="D437"/>
  <c r="D438"/>
  <c r="D439"/>
  <c r="D440"/>
  <c r="D441"/>
  <c r="D442"/>
  <c r="D443"/>
  <c r="D444"/>
  <c r="D445"/>
  <c r="D446"/>
  <c r="D447"/>
  <c r="D448"/>
  <c r="D449"/>
  <c r="D450"/>
  <c r="D451"/>
  <c r="D452"/>
  <c r="D453"/>
  <c r="D454"/>
  <c r="D455"/>
  <c r="D456"/>
  <c r="D457"/>
  <c r="D458"/>
  <c r="D459"/>
  <c r="D460"/>
  <c r="D461"/>
  <c r="D462"/>
  <c r="D463"/>
  <c r="D464"/>
  <c r="D465"/>
  <c r="D466"/>
  <c r="D467"/>
  <c r="D468"/>
  <c r="D469"/>
  <c r="D470"/>
  <c r="D471"/>
  <c r="D472"/>
  <c r="D473"/>
  <c r="D474"/>
  <c r="D475"/>
  <c r="D476"/>
  <c r="D477"/>
  <c r="D478"/>
  <c r="D479"/>
  <c r="D480"/>
  <c r="D481"/>
  <c r="D482"/>
  <c r="D483"/>
  <c r="D484"/>
  <c r="D485"/>
  <c r="D486"/>
  <c r="D487"/>
  <c r="D488"/>
  <c r="D489"/>
  <c r="D490"/>
  <c r="D491"/>
  <c r="D492"/>
  <c r="D493"/>
  <c r="D494"/>
  <c r="D495"/>
  <c r="D496"/>
  <c r="D497"/>
  <c r="D498"/>
  <c r="D499"/>
  <c r="D500"/>
  <c r="D501"/>
  <c r="D502"/>
  <c r="D503"/>
  <c r="D504"/>
  <c r="D505"/>
  <c r="D506"/>
  <c r="D507"/>
  <c r="D508"/>
  <c r="D509"/>
  <c r="D510"/>
  <c r="D511"/>
  <c r="D512"/>
  <c r="D513"/>
  <c r="D514"/>
  <c r="D515"/>
  <c r="D516"/>
  <c r="D517"/>
  <c r="D518"/>
  <c r="D519"/>
  <c r="D520"/>
  <c r="D521"/>
  <c r="D522"/>
  <c r="D523"/>
  <c r="D524"/>
  <c r="D525"/>
  <c r="D526"/>
  <c r="D527"/>
  <c r="D528"/>
  <c r="D529"/>
  <c r="D530"/>
  <c r="D531"/>
  <c r="D532"/>
  <c r="D533"/>
  <c r="D534"/>
  <c r="D535"/>
  <c r="D536"/>
  <c r="D537"/>
  <c r="D538"/>
  <c r="D539"/>
  <c r="D540"/>
  <c r="D541"/>
  <c r="D542"/>
  <c r="D543"/>
  <c r="D544"/>
  <c r="D545"/>
  <c r="D546"/>
  <c r="D547"/>
  <c r="D548"/>
  <c r="D549"/>
  <c r="D550"/>
  <c r="D551"/>
  <c r="D552"/>
  <c r="D553"/>
  <c r="D554"/>
  <c r="D555"/>
  <c r="D556"/>
  <c r="D557"/>
  <c r="D558"/>
  <c r="D559"/>
  <c r="D560"/>
  <c r="D561"/>
  <c r="D562"/>
  <c r="D563"/>
  <c r="D564"/>
  <c r="D565"/>
  <c r="D566"/>
  <c r="D567"/>
  <c r="D568"/>
  <c r="D569"/>
  <c r="D570"/>
  <c r="D571"/>
  <c r="D572"/>
  <c r="D573"/>
  <c r="D574"/>
  <c r="D575"/>
  <c r="D576"/>
  <c r="D577"/>
  <c r="D578"/>
  <c r="D579"/>
  <c r="D580"/>
  <c r="D581"/>
  <c r="D582"/>
  <c r="D583"/>
  <c r="D584"/>
  <c r="D585"/>
  <c r="D586"/>
  <c r="D587"/>
  <c r="D588"/>
  <c r="D589"/>
  <c r="D590"/>
  <c r="D591"/>
  <c r="D592"/>
  <c r="D593"/>
  <c r="D594"/>
  <c r="D595"/>
  <c r="D596"/>
  <c r="D597"/>
  <c r="D598"/>
  <c r="D599"/>
  <c r="D600"/>
  <c r="D601"/>
  <c r="D602"/>
  <c r="D603"/>
  <c r="D604"/>
  <c r="D605"/>
  <c r="D606"/>
  <c r="D607"/>
  <c r="D608"/>
  <c r="D609"/>
  <c r="D610"/>
  <c r="D611"/>
  <c r="D612"/>
  <c r="D613"/>
  <c r="D614"/>
  <c r="D615"/>
  <c r="D616"/>
  <c r="D617"/>
  <c r="D618"/>
  <c r="D619"/>
  <c r="D620"/>
  <c r="D621"/>
  <c r="D622"/>
  <c r="D623"/>
  <c r="D624"/>
  <c r="D625"/>
  <c r="D626"/>
  <c r="D627"/>
  <c r="D628"/>
  <c r="D629"/>
  <c r="D630"/>
  <c r="D631"/>
  <c r="D632"/>
  <c r="D633"/>
  <c r="D634"/>
  <c r="D635"/>
  <c r="D636"/>
  <c r="D637"/>
  <c r="D638"/>
  <c r="D639"/>
  <c r="D640"/>
  <c r="D641"/>
  <c r="D642"/>
  <c r="D643"/>
  <c r="D644"/>
  <c r="D645"/>
  <c r="D646"/>
  <c r="D647"/>
  <c r="D648"/>
  <c r="D649"/>
  <c r="D650"/>
  <c r="D651"/>
  <c r="D652"/>
  <c r="D653"/>
  <c r="D654"/>
  <c r="D655"/>
  <c r="D656"/>
  <c r="D657"/>
  <c r="D658"/>
  <c r="D659"/>
  <c r="D660"/>
  <c r="D661"/>
  <c r="D662"/>
  <c r="D663"/>
  <c r="D664"/>
  <c r="D665"/>
  <c r="D666"/>
  <c r="D667"/>
  <c r="D668"/>
  <c r="D669"/>
  <c r="D670"/>
  <c r="D671"/>
  <c r="D672"/>
  <c r="D673"/>
  <c r="D674"/>
  <c r="D675"/>
  <c r="D676"/>
  <c r="D677"/>
  <c r="D678"/>
  <c r="D679"/>
  <c r="D680"/>
  <c r="D681"/>
  <c r="D682"/>
  <c r="D683"/>
  <c r="D684"/>
  <c r="D685"/>
  <c r="D686"/>
  <c r="D687"/>
  <c r="D688"/>
  <c r="D689"/>
  <c r="D690"/>
  <c r="D691"/>
  <c r="D692"/>
  <c r="D693"/>
  <c r="D694"/>
  <c r="D695"/>
  <c r="D696"/>
  <c r="D697"/>
  <c r="D698"/>
  <c r="D699"/>
  <c r="D700"/>
  <c r="D701"/>
  <c r="D702"/>
  <c r="D703"/>
  <c r="D704"/>
  <c r="D705"/>
  <c r="D706"/>
  <c r="D707"/>
  <c r="D708"/>
  <c r="D709"/>
  <c r="D710"/>
  <c r="D711"/>
  <c r="D712"/>
  <c r="D713"/>
  <c r="D714"/>
  <c r="D715"/>
  <c r="D716"/>
  <c r="D717"/>
  <c r="D718"/>
  <c r="D719"/>
  <c r="D720"/>
  <c r="D721"/>
  <c r="D722"/>
  <c r="D723"/>
  <c r="D724"/>
  <c r="D725"/>
  <c r="D726"/>
  <c r="D727"/>
  <c r="D728"/>
  <c r="D729"/>
  <c r="D730"/>
  <c r="D731"/>
  <c r="D732"/>
  <c r="D733"/>
  <c r="D734"/>
  <c r="D735"/>
  <c r="D736"/>
  <c r="D737"/>
  <c r="D738"/>
  <c r="D739"/>
  <c r="D740"/>
  <c r="D741"/>
  <c r="D742"/>
  <c r="D743"/>
  <c r="D744"/>
  <c r="D745"/>
  <c r="D746"/>
  <c r="D747"/>
  <c r="D748"/>
  <c r="D749"/>
  <c r="D750"/>
  <c r="D751"/>
  <c r="D752"/>
  <c r="D753"/>
  <c r="D754"/>
  <c r="D755"/>
  <c r="D756"/>
  <c r="D757"/>
  <c r="D758"/>
  <c r="D759"/>
  <c r="D760"/>
  <c r="D761"/>
  <c r="D762"/>
  <c r="D763"/>
  <c r="D764"/>
  <c r="D765"/>
  <c r="D766"/>
  <c r="D767"/>
  <c r="D768"/>
  <c r="D769"/>
  <c r="D770"/>
  <c r="D771"/>
  <c r="D772"/>
  <c r="D773"/>
  <c r="D774"/>
  <c r="D775"/>
  <c r="D776"/>
  <c r="D777"/>
  <c r="D778"/>
  <c r="D779"/>
  <c r="D780"/>
  <c r="D781"/>
  <c r="D782"/>
  <c r="D783"/>
  <c r="D784"/>
  <c r="D785"/>
  <c r="D786"/>
  <c r="D787"/>
  <c r="D788"/>
  <c r="D789"/>
  <c r="D790"/>
  <c r="D791"/>
  <c r="D792"/>
  <c r="D793"/>
  <c r="D794"/>
  <c r="D795"/>
  <c r="D796"/>
  <c r="D797"/>
  <c r="D798"/>
  <c r="D799"/>
  <c r="D800"/>
  <c r="D801"/>
  <c r="D802"/>
  <c r="D803"/>
  <c r="D804"/>
  <c r="D805"/>
  <c r="D806"/>
  <c r="D807"/>
  <c r="D808"/>
  <c r="D809"/>
  <c r="D810"/>
  <c r="D811"/>
  <c r="D812"/>
  <c r="D813"/>
  <c r="D814"/>
  <c r="D815"/>
  <c r="D816"/>
  <c r="D817"/>
  <c r="D818"/>
  <c r="D819"/>
  <c r="D820"/>
  <c r="D821"/>
  <c r="D822"/>
  <c r="D823"/>
  <c r="D824"/>
  <c r="D825"/>
  <c r="D826"/>
  <c r="D827"/>
  <c r="D828"/>
  <c r="D829"/>
  <c r="D830"/>
  <c r="D831"/>
  <c r="D832"/>
  <c r="D833"/>
  <c r="D834"/>
  <c r="D835"/>
  <c r="D836"/>
  <c r="D837"/>
  <c r="D838"/>
  <c r="D839"/>
  <c r="D840"/>
  <c r="D841"/>
  <c r="D842"/>
  <c r="D843"/>
  <c r="D844"/>
  <c r="D845"/>
  <c r="D846"/>
  <c r="D847"/>
  <c r="D848"/>
  <c r="D849"/>
  <c r="D850"/>
  <c r="D851"/>
  <c r="D852"/>
  <c r="D853"/>
  <c r="D854"/>
  <c r="D855"/>
  <c r="D856"/>
  <c r="D857"/>
  <c r="D858"/>
  <c r="D859"/>
  <c r="D860"/>
  <c r="D861"/>
  <c r="D862"/>
  <c r="D863"/>
  <c r="D864"/>
  <c r="D865"/>
  <c r="D866"/>
  <c r="D867"/>
  <c r="D868"/>
  <c r="D869"/>
  <c r="D870"/>
  <c r="D871"/>
  <c r="D872"/>
  <c r="D873"/>
  <c r="D874"/>
  <c r="D875"/>
  <c r="D876"/>
  <c r="D877"/>
  <c r="D878"/>
  <c r="D879"/>
  <c r="D880"/>
  <c r="D881"/>
  <c r="D882"/>
  <c r="D883"/>
  <c r="D884"/>
  <c r="D885"/>
  <c r="D886"/>
  <c r="D887"/>
  <c r="D888"/>
  <c r="D889"/>
  <c r="D890"/>
  <c r="D891"/>
  <c r="D892"/>
  <c r="D893"/>
  <c r="D894"/>
  <c r="D895"/>
  <c r="D896"/>
  <c r="D897"/>
  <c r="D898"/>
  <c r="D899"/>
  <c r="D900"/>
  <c r="D901"/>
  <c r="D902"/>
  <c r="D903"/>
  <c r="D904"/>
  <c r="D905"/>
  <c r="D906"/>
  <c r="D907"/>
  <c r="D908"/>
  <c r="D909"/>
  <c r="D910"/>
  <c r="D911"/>
  <c r="D912"/>
  <c r="D913"/>
  <c r="D914"/>
  <c r="D915"/>
  <c r="D916"/>
  <c r="D917"/>
  <c r="D918"/>
  <c r="D919"/>
  <c r="D920"/>
  <c r="D921"/>
  <c r="D922"/>
  <c r="D923"/>
  <c r="D924"/>
  <c r="D925"/>
  <c r="D926"/>
  <c r="D927"/>
  <c r="D928"/>
  <c r="D929"/>
  <c r="D930"/>
  <c r="D931"/>
  <c r="D932"/>
  <c r="D933"/>
  <c r="D934"/>
  <c r="D935"/>
  <c r="D936"/>
  <c r="D937"/>
  <c r="D938"/>
  <c r="D939"/>
  <c r="D940"/>
  <c r="D941"/>
  <c r="D942"/>
  <c r="D943"/>
  <c r="D944"/>
  <c r="D945"/>
  <c r="D946"/>
  <c r="D947"/>
  <c r="D948"/>
  <c r="D949"/>
  <c r="D950"/>
  <c r="D951"/>
  <c r="D952"/>
  <c r="D953"/>
  <c r="D954"/>
  <c r="D955"/>
  <c r="D956"/>
  <c r="D957"/>
  <c r="D958"/>
  <c r="D959"/>
  <c r="D960"/>
  <c r="D961"/>
  <c r="D962"/>
  <c r="D963"/>
  <c r="D964"/>
  <c r="D965"/>
  <c r="D966"/>
  <c r="D967"/>
  <c r="D968"/>
  <c r="D969"/>
  <c r="D970"/>
  <c r="D971"/>
  <c r="D972"/>
  <c r="D973"/>
  <c r="D974"/>
  <c r="D975"/>
  <c r="D976"/>
  <c r="D977"/>
  <c r="D978"/>
  <c r="D979"/>
  <c r="D980"/>
  <c r="D981"/>
  <c r="D982"/>
  <c r="D983"/>
  <c r="D984"/>
  <c r="D985"/>
  <c r="D986"/>
  <c r="D987"/>
  <c r="D988"/>
  <c r="D989"/>
  <c r="D990"/>
  <c r="D991"/>
  <c r="D992"/>
  <c r="D993"/>
  <c r="D994"/>
  <c r="D995"/>
  <c r="D996"/>
  <c r="D997"/>
  <c r="D998"/>
  <c r="D999"/>
  <c r="D1000"/>
  <c r="D1001"/>
  <c r="D1002"/>
  <c r="D1003"/>
  <c r="D1004"/>
  <c r="D1005"/>
  <c r="D1006"/>
  <c r="D1007"/>
  <c r="D1008"/>
  <c r="D1009"/>
  <c r="D1010"/>
  <c r="D1011"/>
  <c r="D1012"/>
  <c r="D1013"/>
  <c r="D1014"/>
  <c r="D1015"/>
  <c r="D1016"/>
  <c r="D1017"/>
  <c r="D1018"/>
  <c r="D1019"/>
  <c r="D1020"/>
  <c r="D1021"/>
  <c r="D1022"/>
  <c r="D1023"/>
  <c r="D1024"/>
  <c r="D1025"/>
  <c r="D1026"/>
  <c r="D1027"/>
  <c r="D1028"/>
  <c r="D1029"/>
  <c r="D1030"/>
  <c r="D1031"/>
  <c r="D1032"/>
  <c r="D1033"/>
  <c r="D1034"/>
  <c r="D1035"/>
  <c r="D1036"/>
  <c r="D1037"/>
  <c r="D1038"/>
  <c r="D1039"/>
  <c r="D1040"/>
  <c r="D1041"/>
  <c r="D1042"/>
  <c r="D1043"/>
  <c r="D1044"/>
  <c r="D1045"/>
  <c r="D1046"/>
  <c r="D1047"/>
  <c r="D1048"/>
  <c r="D1049"/>
  <c r="D1050"/>
  <c r="D1051"/>
  <c r="D1052"/>
  <c r="D1053"/>
  <c r="D1054"/>
  <c r="D1055"/>
  <c r="D1056"/>
  <c r="D1057"/>
  <c r="D1058"/>
  <c r="D1059"/>
  <c r="D1060"/>
  <c r="D1061"/>
  <c r="D1062"/>
  <c r="D1063"/>
  <c r="D1064"/>
  <c r="D1065"/>
  <c r="D1066"/>
  <c r="D1067"/>
  <c r="D1068"/>
  <c r="D1069"/>
  <c r="D1070"/>
  <c r="D1071"/>
  <c r="D1072"/>
  <c r="D1073"/>
  <c r="D1074"/>
  <c r="D1075"/>
  <c r="D1076"/>
  <c r="D1077"/>
  <c r="D1078"/>
  <c r="D1079"/>
  <c r="D1080"/>
  <c r="D1081"/>
  <c r="D1082"/>
  <c r="D1083"/>
  <c r="D1084"/>
  <c r="D1085"/>
  <c r="D1086"/>
  <c r="D1087"/>
  <c r="D1088"/>
  <c r="D1089"/>
  <c r="D1090"/>
  <c r="D1091"/>
  <c r="D1092"/>
  <c r="D1093"/>
  <c r="D1094"/>
  <c r="D1095"/>
  <c r="D1096"/>
  <c r="D1097"/>
  <c r="D1098"/>
  <c r="D1099"/>
  <c r="D1100"/>
  <c r="D1101"/>
  <c r="D1102"/>
  <c r="D1103"/>
  <c r="D1104"/>
  <c r="D1105"/>
  <c r="D1106"/>
  <c r="D1107"/>
  <c r="D1108"/>
  <c r="D1109"/>
  <c r="D1110"/>
  <c r="D1111"/>
  <c r="D1112"/>
  <c r="D1113"/>
  <c r="D1114"/>
  <c r="D1115"/>
  <c r="D1116"/>
  <c r="D1117"/>
  <c r="D1118"/>
  <c r="D1119"/>
  <c r="D1120"/>
  <c r="D1121"/>
  <c r="D1122"/>
  <c r="D1123"/>
  <c r="D1124"/>
  <c r="D1125"/>
  <c r="D1126"/>
  <c r="D1127"/>
  <c r="D1128"/>
  <c r="D1129"/>
  <c r="D1130"/>
  <c r="D1131"/>
  <c r="D1132"/>
  <c r="D1133"/>
  <c r="D1134"/>
  <c r="D1135"/>
  <c r="D1136"/>
  <c r="D1137"/>
  <c r="D1138"/>
  <c r="D1139"/>
  <c r="D1140"/>
  <c r="D1141"/>
  <c r="D1142"/>
  <c r="D1143"/>
  <c r="D1144"/>
  <c r="D1145"/>
  <c r="D1146"/>
  <c r="D1147"/>
  <c r="D1148"/>
  <c r="D1149"/>
  <c r="D1150"/>
  <c r="D1151"/>
  <c r="D1152"/>
  <c r="D1153"/>
  <c r="D1154"/>
  <c r="D1155"/>
  <c r="D1156"/>
  <c r="D1157"/>
  <c r="D1158"/>
  <c r="D1159"/>
  <c r="D1160"/>
  <c r="D1161"/>
  <c r="D1162"/>
  <c r="D1163"/>
  <c r="D1164"/>
  <c r="D1165"/>
  <c r="D1166"/>
  <c r="D1167"/>
  <c r="D1168"/>
  <c r="D1169"/>
  <c r="D1170"/>
  <c r="D1171"/>
  <c r="D1172"/>
  <c r="D1173"/>
  <c r="D1174"/>
  <c r="D1175"/>
  <c r="D1176"/>
  <c r="D1177"/>
  <c r="D1178"/>
  <c r="D1179"/>
  <c r="D1180"/>
  <c r="D1181"/>
  <c r="D1182"/>
  <c r="D1183"/>
  <c r="D1184"/>
  <c r="D1185"/>
  <c r="D1186"/>
  <c r="D1187"/>
  <c r="D1188"/>
  <c r="D1189"/>
  <c r="D1190"/>
  <c r="D1191"/>
  <c r="D1192"/>
  <c r="D1193"/>
  <c r="D1194"/>
  <c r="D1195"/>
  <c r="D1196"/>
  <c r="D1197"/>
  <c r="D1198"/>
  <c r="D1199"/>
  <c r="D1200"/>
  <c r="D1201"/>
  <c r="D1202"/>
  <c r="D1203"/>
  <c r="D1204"/>
  <c r="D1205"/>
  <c r="D1206"/>
  <c r="D1207"/>
  <c r="D1208"/>
  <c r="D1209"/>
  <c r="D1210"/>
  <c r="D1211"/>
  <c r="D1212"/>
  <c r="D1213"/>
  <c r="D1214"/>
  <c r="D1215"/>
  <c r="D1216"/>
  <c r="D1217"/>
  <c r="D1218"/>
  <c r="D1219"/>
  <c r="D1220"/>
  <c r="D1221"/>
  <c r="D1222"/>
  <c r="D1223"/>
  <c r="D1224"/>
  <c r="D1225"/>
  <c r="D1226"/>
  <c r="D1227"/>
  <c r="D1228"/>
  <c r="D1229"/>
  <c r="D1230"/>
  <c r="D1231"/>
  <c r="D1232"/>
  <c r="D1233"/>
  <c r="D1234"/>
  <c r="D1235"/>
  <c r="D1236"/>
  <c r="D1237"/>
  <c r="D1238"/>
  <c r="D1239"/>
  <c r="D1240"/>
  <c r="D1241"/>
  <c r="D1242"/>
  <c r="D1243"/>
  <c r="D1244"/>
  <c r="D1245"/>
  <c r="D1246"/>
  <c r="D1247"/>
  <c r="D1248"/>
  <c r="D1249"/>
  <c r="D1250"/>
  <c r="D1251"/>
  <c r="D1252"/>
  <c r="D1253"/>
  <c r="D1254"/>
  <c r="D1255"/>
  <c r="D1256"/>
  <c r="D1257"/>
  <c r="D1258"/>
  <c r="D1259"/>
  <c r="D1260"/>
  <c r="D1261"/>
  <c r="D1262"/>
  <c r="D1263"/>
  <c r="D1264"/>
  <c r="D1265"/>
  <c r="D1266"/>
  <c r="D1267"/>
  <c r="D1268"/>
  <c r="D1269"/>
  <c r="D1270"/>
  <c r="D1271"/>
  <c r="D1272"/>
  <c r="D1273"/>
  <c r="D1274"/>
  <c r="D1275"/>
  <c r="D1276"/>
  <c r="D1277"/>
  <c r="D1278"/>
  <c r="D1279"/>
  <c r="D1280"/>
  <c r="D1281"/>
  <c r="D1282"/>
  <c r="D1283"/>
  <c r="D1284"/>
  <c r="D1285"/>
  <c r="D1286"/>
  <c r="D1287"/>
  <c r="D1288"/>
  <c r="D1289"/>
  <c r="D1290"/>
  <c r="D1291"/>
  <c r="D1292"/>
  <c r="D1293"/>
  <c r="D1294"/>
  <c r="D1295"/>
  <c r="D1296"/>
  <c r="D1297"/>
  <c r="D1298"/>
  <c r="D1299"/>
  <c r="D1300"/>
  <c r="D1301"/>
  <c r="D1302"/>
  <c r="D1303"/>
  <c r="D1304"/>
  <c r="D1305"/>
  <c r="D1306"/>
  <c r="D1307"/>
  <c r="D1308"/>
  <c r="D1309"/>
  <c r="D1310"/>
  <c r="D1311"/>
  <c r="D1312"/>
  <c r="D1313"/>
  <c r="D1314"/>
  <c r="D1315"/>
  <c r="D1316"/>
  <c r="D1317"/>
  <c r="D1318"/>
  <c r="D1319"/>
  <c r="D1320"/>
  <c r="D1321"/>
  <c r="D1322"/>
  <c r="D1323"/>
  <c r="D1324"/>
  <c r="D1325"/>
  <c r="D1326"/>
  <c r="D1327"/>
  <c r="D1328"/>
  <c r="D1329"/>
  <c r="D1330"/>
  <c r="D1331"/>
  <c r="D1332"/>
  <c r="D1333"/>
  <c r="D1334"/>
  <c r="D1335"/>
  <c r="D1336"/>
  <c r="D1337"/>
  <c r="D1338"/>
  <c r="D1339"/>
  <c r="D1340"/>
  <c r="D1341"/>
  <c r="D1342"/>
  <c r="D1343"/>
  <c r="D1344"/>
  <c r="D1345"/>
  <c r="D1346"/>
  <c r="D1347"/>
  <c r="D1348"/>
  <c r="D1349"/>
  <c r="D1350"/>
  <c r="D1351"/>
  <c r="D1352"/>
  <c r="D1353"/>
  <c r="D1354"/>
  <c r="D1355"/>
  <c r="D1356"/>
  <c r="D1357"/>
  <c r="D1358"/>
  <c r="D1359"/>
  <c r="D1360"/>
  <c r="D1361"/>
  <c r="D1362"/>
  <c r="D1363"/>
  <c r="D1364"/>
  <c r="D1365"/>
  <c r="D1366"/>
  <c r="D1367"/>
  <c r="D1368"/>
  <c r="D1369"/>
  <c r="D1370"/>
  <c r="D1371"/>
  <c r="D1372"/>
  <c r="D1373"/>
  <c r="D1374"/>
  <c r="D1375"/>
  <c r="D1376"/>
  <c r="D1377"/>
  <c r="D1378"/>
  <c r="D1379"/>
  <c r="D1380"/>
  <c r="D1381"/>
  <c r="D1382"/>
  <c r="D1383"/>
  <c r="D1384"/>
  <c r="D1385"/>
  <c r="D1386"/>
  <c r="D1387"/>
  <c r="D1388"/>
  <c r="D1389"/>
  <c r="D1390"/>
  <c r="D1391"/>
  <c r="D1392"/>
  <c r="D1393"/>
  <c r="D1394"/>
  <c r="D1395"/>
  <c r="D1396"/>
  <c r="D1397"/>
  <c r="D1398"/>
  <c r="D1399"/>
  <c r="D1400"/>
  <c r="D1401"/>
  <c r="D1402"/>
  <c r="D1403"/>
  <c r="D1404"/>
  <c r="D1405"/>
  <c r="D1406"/>
  <c r="D1407"/>
  <c r="D1408"/>
  <c r="D1409"/>
  <c r="D1410"/>
  <c r="D1411"/>
  <c r="D1412"/>
  <c r="D1413"/>
  <c r="D1414"/>
  <c r="D1415"/>
  <c r="D1416"/>
  <c r="D1417"/>
  <c r="D1418"/>
  <c r="D1419"/>
  <c r="D1420"/>
  <c r="D1421"/>
  <c r="D1422"/>
  <c r="D1423"/>
  <c r="D1424"/>
  <c r="D1425"/>
  <c r="D1426"/>
  <c r="D1427"/>
  <c r="D1428"/>
  <c r="D1429"/>
  <c r="D1430"/>
  <c r="D1431"/>
  <c r="D1432"/>
  <c r="D1433"/>
  <c r="D1434"/>
  <c r="D1435"/>
  <c r="D1436"/>
  <c r="D1437"/>
  <c r="D1438"/>
  <c r="D1439"/>
  <c r="D1440"/>
  <c r="D1441"/>
  <c r="D1442"/>
  <c r="D1443"/>
  <c r="D1444"/>
  <c r="D1445"/>
  <c r="D1446"/>
  <c r="D1447"/>
  <c r="D1448"/>
  <c r="D1449"/>
  <c r="D1450"/>
  <c r="D1451"/>
  <c r="D1452"/>
  <c r="D1453"/>
  <c r="D1454"/>
  <c r="D1455"/>
  <c r="D1456"/>
  <c r="D1457"/>
  <c r="D1458"/>
  <c r="D1459"/>
  <c r="D1460"/>
  <c r="D1461"/>
  <c r="D1462"/>
  <c r="D1463"/>
  <c r="D1464"/>
  <c r="D1465"/>
  <c r="D1466"/>
  <c r="D1467"/>
  <c r="D1468"/>
  <c r="D1469"/>
  <c r="D1470"/>
  <c r="D1471"/>
  <c r="D1472"/>
  <c r="D1473"/>
  <c r="D1474"/>
  <c r="D1475"/>
  <c r="D1476"/>
  <c r="D1477"/>
  <c r="D1478"/>
  <c r="D1479"/>
  <c r="D1480"/>
  <c r="D1481"/>
  <c r="D1482"/>
  <c r="D1483"/>
  <c r="D1484"/>
  <c r="D1485"/>
  <c r="D1486"/>
  <c r="D1487"/>
  <c r="D1488"/>
  <c r="D1489"/>
  <c r="D1490"/>
  <c r="D1491"/>
  <c r="D1492"/>
  <c r="D1493"/>
  <c r="D1494"/>
  <c r="D1495"/>
  <c r="D1496"/>
  <c r="D1497"/>
  <c r="D1498"/>
  <c r="D1499"/>
  <c r="D1500"/>
  <c r="D1501"/>
  <c r="D1502"/>
  <c r="D1503"/>
  <c r="D1504"/>
  <c r="D1505"/>
  <c r="D1506"/>
  <c r="D1507"/>
  <c r="D1508"/>
  <c r="D1509"/>
  <c r="D1510"/>
  <c r="D1511"/>
  <c r="D1512"/>
  <c r="D1513"/>
  <c r="D1514"/>
  <c r="D1515"/>
  <c r="D1516"/>
  <c r="D1517"/>
  <c r="D1518"/>
  <c r="D1519"/>
  <c r="D1520"/>
  <c r="D1521"/>
  <c r="D1522"/>
  <c r="D1523"/>
  <c r="D1524"/>
  <c r="D1525"/>
  <c r="D1526"/>
  <c r="D1527"/>
  <c r="D1528"/>
  <c r="D1529"/>
  <c r="D1530"/>
  <c r="D1531"/>
  <c r="D1532"/>
  <c r="D1533"/>
  <c r="D1534"/>
  <c r="D1535"/>
  <c r="D1536"/>
  <c r="D1537"/>
  <c r="D1538"/>
  <c r="D1539"/>
  <c r="D1540"/>
  <c r="D1541"/>
  <c r="D1542"/>
  <c r="D1543"/>
  <c r="D1544"/>
  <c r="D1545"/>
  <c r="D1546"/>
  <c r="D1547"/>
  <c r="D1548"/>
  <c r="D1549"/>
  <c r="D1550"/>
  <c r="D1551"/>
  <c r="D1552"/>
  <c r="D1553"/>
  <c r="D1554"/>
  <c r="D1555"/>
  <c r="D1556"/>
  <c r="D1557"/>
  <c r="D1558"/>
  <c r="D1559"/>
  <c r="D1560"/>
  <c r="D1561"/>
  <c r="D1562"/>
  <c r="D1563"/>
  <c r="D1564"/>
  <c r="D1565"/>
  <c r="D1566"/>
  <c r="D1567"/>
  <c r="D1568"/>
  <c r="D1569"/>
  <c r="D1570"/>
  <c r="D1571"/>
  <c r="D1572"/>
  <c r="D1573"/>
  <c r="D1574"/>
  <c r="D1575"/>
  <c r="D1576"/>
  <c r="D1577"/>
  <c r="D1578"/>
  <c r="D1579"/>
  <c r="D1580"/>
  <c r="D1581"/>
  <c r="D1582"/>
  <c r="D1583"/>
  <c r="D1584"/>
  <c r="D1585"/>
  <c r="D1586"/>
  <c r="D1587"/>
  <c r="D1588"/>
  <c r="D1589"/>
  <c r="D1590"/>
  <c r="D1591"/>
  <c r="D1592"/>
  <c r="D1593"/>
  <c r="D1594"/>
  <c r="D1595"/>
  <c r="D1596"/>
  <c r="D1597"/>
  <c r="D1598"/>
  <c r="D1599"/>
  <c r="D1600"/>
  <c r="D1601"/>
  <c r="D1602"/>
  <c r="D1603"/>
  <c r="D1604"/>
  <c r="D1605"/>
  <c r="D1606"/>
  <c r="D1607"/>
  <c r="D1608"/>
  <c r="D1609"/>
  <c r="D1610"/>
  <c r="D1611"/>
  <c r="D1612"/>
  <c r="D1613"/>
  <c r="D1614"/>
  <c r="D1615"/>
  <c r="D1616"/>
  <c r="D1617"/>
  <c r="D1618"/>
  <c r="D1619"/>
  <c r="D1620"/>
  <c r="D1621"/>
  <c r="D1622"/>
  <c r="D1623"/>
  <c r="D1624"/>
  <c r="D1625"/>
  <c r="D1626"/>
  <c r="D31" i="1"/>
  <c r="K8" l="1" a="1"/>
  <c r="K8" s="1"/>
  <c r="K12" a="1"/>
  <c r="K12" s="1"/>
  <c r="K11" a="1"/>
  <c r="K11" s="1"/>
  <c r="K15" a="1"/>
  <c r="K15" s="1"/>
  <c r="J14" a="1"/>
  <c r="J14" s="1"/>
  <c r="K13" a="1"/>
  <c r="K13" s="1"/>
  <c r="I15" a="1"/>
  <c r="I15" s="1"/>
  <c r="I14" a="1"/>
  <c r="I14" s="1"/>
  <c r="K14" a="1"/>
  <c r="K14" s="1"/>
  <c r="I12" a="1"/>
  <c r="I12" s="1"/>
  <c r="J12" a="1"/>
  <c r="J12" s="1"/>
  <c r="I13" a="1"/>
  <c r="I13" s="1"/>
  <c r="J13" a="1"/>
  <c r="J13" s="1"/>
  <c r="G14" a="1"/>
  <c r="G14" s="1"/>
  <c r="G15" a="1"/>
  <c r="G15" s="1"/>
  <c r="G12" a="1"/>
  <c r="G12" s="1"/>
  <c r="G13" a="1"/>
  <c r="G13" s="1"/>
  <c r="D248" i="4"/>
  <c r="D247"/>
  <c r="D246"/>
  <c r="D245"/>
  <c r="D244"/>
  <c r="D243"/>
  <c r="D242"/>
  <c r="D241"/>
  <c r="D240"/>
  <c r="D239"/>
  <c r="D238"/>
  <c r="D237"/>
  <c r="D236"/>
  <c r="D235"/>
  <c r="D234"/>
  <c r="D233"/>
  <c r="D232"/>
  <c r="D231"/>
  <c r="D230"/>
  <c r="D229"/>
  <c r="D228"/>
  <c r="D227"/>
  <c r="D226"/>
  <c r="D225"/>
  <c r="D224"/>
  <c r="D223"/>
  <c r="D222"/>
  <c r="D221"/>
  <c r="D220"/>
  <c r="D219"/>
  <c r="D218"/>
  <c r="D217"/>
  <c r="D216"/>
  <c r="D215"/>
  <c r="D214"/>
  <c r="D212"/>
  <c r="D211"/>
  <c r="D210"/>
  <c r="D209"/>
  <c r="D208"/>
  <c r="D207"/>
  <c r="D206"/>
  <c r="D205"/>
  <c r="D204"/>
  <c r="D203"/>
  <c r="D202"/>
  <c r="D201"/>
  <c r="D200"/>
  <c r="D199"/>
  <c r="D198"/>
  <c r="D197"/>
  <c r="D196"/>
  <c r="D195"/>
  <c r="D194"/>
  <c r="D193"/>
  <c r="D192"/>
  <c r="D191"/>
  <c r="D190"/>
  <c r="D189"/>
  <c r="D188"/>
  <c r="D186"/>
  <c r="D185"/>
  <c r="D184"/>
  <c r="D183"/>
  <c r="D182"/>
  <c r="D181"/>
  <c r="D179"/>
  <c r="D178"/>
  <c r="D177"/>
  <c r="D176"/>
  <c r="D175"/>
  <c r="D174"/>
  <c r="D173"/>
  <c r="D172"/>
  <c r="D171"/>
  <c r="D170"/>
  <c r="D169"/>
  <c r="D167"/>
  <c r="D166"/>
  <c r="D165"/>
  <c r="D164"/>
  <c r="D163"/>
  <c r="D162"/>
  <c r="D161"/>
  <c r="D160"/>
  <c r="D159"/>
  <c r="D158"/>
  <c r="D157"/>
  <c r="D156"/>
  <c r="D155"/>
  <c r="D154"/>
  <c r="D153"/>
  <c r="D152"/>
  <c r="D151"/>
  <c r="D150"/>
  <c r="D149"/>
  <c r="D148"/>
  <c r="D146"/>
  <c r="D145"/>
  <c r="D144"/>
  <c r="D143"/>
  <c r="D142"/>
  <c r="D141"/>
  <c r="D140"/>
  <c r="D139"/>
  <c r="D138"/>
  <c r="D137"/>
  <c r="D136"/>
  <c r="D135"/>
  <c r="D134"/>
  <c r="D133"/>
  <c r="D132"/>
  <c r="D131"/>
  <c r="D130"/>
  <c r="D129"/>
  <c r="D128"/>
  <c r="D127"/>
  <c r="D126"/>
  <c r="D125"/>
  <c r="D124"/>
  <c r="D123"/>
  <c r="D122"/>
  <c r="D121"/>
  <c r="D120"/>
  <c r="D119"/>
  <c r="D118"/>
  <c r="D117"/>
  <c r="D116"/>
  <c r="D115"/>
  <c r="D114"/>
  <c r="D112"/>
  <c r="D111"/>
  <c r="D110"/>
  <c r="D109"/>
  <c r="D108"/>
  <c r="D107"/>
  <c r="D106"/>
  <c r="D105"/>
  <c r="D104"/>
  <c r="D103"/>
  <c r="D102"/>
  <c r="D101"/>
  <c r="D100"/>
  <c r="D99"/>
  <c r="D98"/>
  <c r="D97"/>
  <c r="D96"/>
  <c r="D95"/>
  <c r="D94"/>
  <c r="D93"/>
  <c r="D92"/>
  <c r="D91"/>
  <c r="D90"/>
  <c r="D89"/>
  <c r="D88"/>
  <c r="D87"/>
  <c r="D86"/>
  <c r="D85"/>
  <c r="D84"/>
  <c r="D83"/>
  <c r="D82"/>
  <c r="D81"/>
  <c r="D80"/>
  <c r="D79"/>
  <c r="D78"/>
  <c r="D77"/>
  <c r="D76"/>
  <c r="D75"/>
  <c r="D74"/>
  <c r="D73"/>
  <c r="D72"/>
  <c r="D71"/>
  <c r="D70"/>
  <c r="D69"/>
  <c r="D68"/>
  <c r="D67"/>
  <c r="D66"/>
  <c r="D65"/>
  <c r="D64"/>
  <c r="D63"/>
  <c r="D62"/>
  <c r="D61"/>
  <c r="D60"/>
  <c r="D59"/>
  <c r="D58"/>
  <c r="D57"/>
  <c r="D56"/>
  <c r="D55"/>
  <c r="D53"/>
  <c r="D52"/>
  <c r="D51"/>
  <c r="D50"/>
  <c r="D49"/>
  <c r="D48"/>
  <c r="D47"/>
  <c r="D46"/>
  <c r="D45"/>
  <c r="D44"/>
  <c r="D43"/>
  <c r="D42"/>
  <c r="D41"/>
  <c r="D40"/>
  <c r="D38"/>
  <c r="D37"/>
  <c r="D36"/>
  <c r="D35"/>
  <c r="D34"/>
  <c r="D33"/>
  <c r="D32"/>
  <c r="D31"/>
  <c r="D30"/>
  <c r="D29"/>
  <c r="D28"/>
  <c r="D27"/>
  <c r="D26"/>
  <c r="D25"/>
  <c r="D24"/>
  <c r="D23"/>
  <c r="D22"/>
  <c r="D20"/>
  <c r="D19"/>
  <c r="D18"/>
  <c r="D16"/>
  <c r="D14"/>
  <c r="D12"/>
  <c r="D11"/>
  <c r="D9"/>
  <c r="D7"/>
  <c r="D5"/>
  <c r="D3"/>
  <c r="D18" i="1"/>
  <c r="D17"/>
  <c r="A21" i="3"/>
  <c r="A20"/>
  <c r="A19"/>
  <c r="A18"/>
  <c r="A17"/>
  <c r="A16"/>
  <c r="A15"/>
  <c r="A14"/>
  <c r="A13"/>
  <c r="A12"/>
  <c r="A11"/>
  <c r="H1" i="1" l="1"/>
  <c r="J31" s="1"/>
</calcChain>
</file>

<file path=xl/sharedStrings.xml><?xml version="1.0" encoding="utf-8"?>
<sst xmlns="http://schemas.openxmlformats.org/spreadsheetml/2006/main" count="617" uniqueCount="275">
  <si>
    <t>Date</t>
  </si>
  <si>
    <t>Ref :</t>
  </si>
  <si>
    <t>Num Fiche</t>
  </si>
  <si>
    <t>Heure</t>
  </si>
  <si>
    <t>Nom prénom</t>
  </si>
  <si>
    <t>Now</t>
  </si>
  <si>
    <t>Motif</t>
  </si>
  <si>
    <t>Action</t>
  </si>
  <si>
    <t>Commentaire</t>
  </si>
  <si>
    <t>Carte</t>
  </si>
  <si>
    <t>NRP</t>
  </si>
  <si>
    <t>Clôt</t>
  </si>
  <si>
    <t>revoir les garanties</t>
  </si>
  <si>
    <t>Appel</t>
  </si>
  <si>
    <t>Rappel</t>
  </si>
  <si>
    <t>Fiche N°1344695 - Sylvie CHANSIGAUD</t>
  </si>
  <si>
    <t>Fiche N°1574146 - Liliane MENTREL</t>
  </si>
  <si>
    <t>df</t>
  </si>
  <si>
    <t>Fiche N°881113 - Marie-pascale ARTON</t>
  </si>
  <si>
    <t>ecoute</t>
  </si>
  <si>
    <t>Traité</t>
  </si>
  <si>
    <t>ok</t>
  </si>
  <si>
    <t>Fiche N°1575397 - Dominique VIGUIER</t>
  </si>
  <si>
    <t>Ecoute</t>
  </si>
  <si>
    <t>Fiche N°314064 - Didier LE PARC</t>
  </si>
  <si>
    <t xml:space="preserve">Revoir le contrat </t>
  </si>
  <si>
    <t xml:space="preserve">Ai contacté l'assuré pour lui proposer un contrat il ma confirmé qu'il souhaite garder juste l'hospi et les soins ==&gt; je lui ai envoyer 3 formule et je programme un rappel </t>
  </si>
  <si>
    <t>Fiche N°1611218 - DANIELLE SCANTLEBURY</t>
  </si>
  <si>
    <t>Suivie</t>
  </si>
  <si>
    <t xml:space="preserve">Ai contacté l'assu mais elle est injoignable == un messgae est laisse </t>
  </si>
  <si>
    <t>Transfert standard</t>
  </si>
  <si>
    <t xml:space="preserve">un rappel est prévu après la collecte des informations </t>
  </si>
  <si>
    <t>Motif :</t>
  </si>
  <si>
    <t>Resumé :</t>
  </si>
  <si>
    <t>Commentaire :</t>
  </si>
  <si>
    <t>Ai contacté l'assuré dans le cadre de la compagne pour l'informer d'une augmentation mais il 'est injoignable je lui laisse un message sur le répondeur.</t>
  </si>
  <si>
    <t>CHAURIN JEAN LUC 1/5/2113%</t>
  </si>
  <si>
    <t xml:space="preserve">
Net Courtage Assurances - 3 avenue de l'épi 77540 Rozay en Brie
Votre conseiller : Remy GARAU
Tel agence : 09 88 99 48 01
Mail : lorine@ncassurances.com</t>
  </si>
  <si>
    <t>06 47 74 21 11</t>
  </si>
  <si>
    <t>MALATERRE RITA 10/5/2113%</t>
  </si>
  <si>
    <t>06 87 59 37 18</t>
  </si>
  <si>
    <t>CHAUCHAT FRANCOISE 19/05/202113%</t>
  </si>
  <si>
    <t>07 88 39 26 32</t>
  </si>
  <si>
    <t>COTTARD THERESE MA 1/6/2113%</t>
  </si>
  <si>
    <t>06 82 09 07 51</t>
  </si>
  <si>
    <t>DESSOYE MICHELE 1/6/2113%</t>
  </si>
  <si>
    <t>Introuvable</t>
  </si>
  <si>
    <t>06 15 76 23 95</t>
  </si>
  <si>
    <t>MICHEL GILLES 1/6/2113%</t>
  </si>
  <si>
    <t>06 99 77 50 88</t>
  </si>
  <si>
    <t>RENAULT BERNARD 10/6/2113%</t>
  </si>
  <si>
    <t>06 11 01 72 21
SCHNEIDER GERARD 1/3/22
13%</t>
  </si>
  <si>
    <t>06 17 31 29 97</t>
  </si>
  <si>
    <t>BERTHONNEAU CHRISTIAN 15/03/202217%</t>
  </si>
  <si>
    <t>06 88 12 30 31
MUNYANKINDI PATRICIA 23/03/2022
13%</t>
  </si>
  <si>
    <t xml:space="preserve">
06 83 29 04 45
CIANFARANI CHARLES AN 10/4/22
13%</t>
  </si>
  <si>
    <t>06 30 03 73 16
CHERI A.FRANCE 1/6/22
13%</t>
  </si>
  <si>
    <t>06 88 73 02 81
GRANDIN JACQUELINE 1/3/23
13%</t>
  </si>
  <si>
    <t>06 16 03 20 23
AUGUET PATRICK GE 14/03/2023
13%</t>
  </si>
  <si>
    <t>07 88 98 65 37
CHEDAL MIREILLE 1/4/23
13%</t>
  </si>
  <si>
    <t>06 20 01 62 43
TERFOUS AHMED 1/4/23
13%</t>
  </si>
  <si>
    <t>07 64 47 53 16
COUSIN CLAUDE 1/5/23
13%</t>
  </si>
  <si>
    <t>06 99 90 59 62
DECINA SERGE 1/5/23
13%</t>
  </si>
  <si>
    <t xml:space="preserve">Joignable mais il a résilier </t>
  </si>
  <si>
    <t>06 65 45 26 69
HALLAIS JEAN MARC 1/5/23
13%</t>
  </si>
  <si>
    <t>06 16 87 31 97
PALANQUE DENIS 10/5/23
13%</t>
  </si>
  <si>
    <t xml:space="preserve">contrat résilié </t>
  </si>
  <si>
    <t xml:space="preserve"> revoir </t>
  </si>
  <si>
    <t>06 26 43 07 04
BRACONNIER JEAN PIERR 1/6/23
13%</t>
  </si>
  <si>
    <t>06 84 57 02 27
DONINEAUX MARIE JOSE 1/6/23
17%</t>
  </si>
  <si>
    <t>06 61 78 36 52
DUMENIL ANNE-MARIE 1/6/23
13%</t>
  </si>
  <si>
    <t>06 22 11 88 75
NEVEUX DENIS 1/6/23
13%</t>
  </si>
  <si>
    <t>06 43 51 75 75
PONT FRANCOISE 1/6/23
13%</t>
  </si>
  <si>
    <t>Appel a rfazire</t>
  </si>
  <si>
    <t>OK</t>
  </si>
  <si>
    <t>06 64 23 14 31
ZERIOUH SALEM 1/6/23
17%</t>
  </si>
  <si>
    <t>06 16 47 62 74
PARISI DOMINIQUE 19/06/2023
13%</t>
  </si>
  <si>
    <t xml:space="preserve">Dentaire </t>
  </si>
  <si>
    <t xml:space="preserve">philipine,parisi@laposte.net </t>
  </si>
  <si>
    <t>philipine,parisi@sfr.fr</t>
  </si>
  <si>
    <t xml:space="preserve">Identifiant </t>
  </si>
  <si>
    <t>06 18 18 74 87
DUARTENUNES MARIA 1/3/24
17%</t>
  </si>
  <si>
    <t>07 77 95 76 06
DUVALLE GERMAINE 1/3/24
13%</t>
  </si>
  <si>
    <t>06 32 40 67 80
MANGIN MICHEL 1/3/24
13%</t>
  </si>
  <si>
    <t>07 50 96 60 98
SIBAHI SOMAH FRAN 5/3/24
13%</t>
  </si>
  <si>
    <t xml:space="preserve">OK </t>
  </si>
  <si>
    <t>06 58 03 04 25
MAUVAIS ARMELLE 8/3/24
13%</t>
  </si>
  <si>
    <t>06 61 19 88 44
LEVANT ELISABETH 10/3/24
13%</t>
  </si>
  <si>
    <r>
      <t xml:space="preserve">06 07 78 91 02     </t>
    </r>
    <r>
      <rPr>
        <sz val="22"/>
        <color rgb="FFFF0000"/>
        <rFont val="Aptos Narrow"/>
        <scheme val="minor"/>
      </rPr>
      <t xml:space="preserve"> 09 88 99 48 01</t>
    </r>
  </si>
  <si>
    <t>06 13 61 33 20
MAZUIR CLAUDE 10/3/24
17%</t>
  </si>
  <si>
    <t>06 07 74 08 46
PINAGOT BERNARD 10/3/24
13%</t>
  </si>
  <si>
    <t>06 85 13 63 62
BARRAUD ALEXANDRIN 11/3/24
13%</t>
  </si>
  <si>
    <t>06 48 36 84 23
AINOUZ ELIE 15/03/2024
13%</t>
  </si>
  <si>
    <t>06 28 76 61 21  0637944381
MOYA ANDRE 23/03/2024
13%</t>
  </si>
  <si>
    <t>06 95 60 71 44
AMAOUCHE MESSAOUDA 1/4/24
13%</t>
  </si>
  <si>
    <t>06 85 15 05 46
CLARISSE YVES 1/4/24
13%</t>
  </si>
  <si>
    <t>07 87 24 17 54
CLAUDEL HUBERT 1/4/24
13%</t>
  </si>
  <si>
    <t>06 58 42 91 50
CROSNIER ROGER 1/4/24
13%</t>
  </si>
  <si>
    <t>07 83 34 13 70
CROUZET ALAIN 1/4/24
13%</t>
  </si>
  <si>
    <t>06 26 40 83 58
DEALMEIDA ANA MARIA 1/4/24
13%</t>
  </si>
  <si>
    <t>06 24 22 87 39
DELEAGE ALAIN 1/4/24
13%</t>
  </si>
  <si>
    <t>06 17 52 46 40
DUCLOYER BERNARD 1/4/24
13%</t>
  </si>
  <si>
    <t>refus</t>
  </si>
  <si>
    <t>06 61 62 32 17
ELKEFI MONCEF 1/4/24
13%</t>
  </si>
  <si>
    <t>ko</t>
  </si>
  <si>
    <t>07 83 26 13 54
ELKHALFI BRAHIM 1/4/24
17%</t>
  </si>
  <si>
    <t>06 98 85 40 09
HILAIRE JEAN 1/4/24
13%</t>
  </si>
  <si>
    <t>06 50 72 80 72
KABEYA BIN 1/4/24
13%</t>
  </si>
  <si>
    <t>06 84 18 15 83
LECANN DANIELLE 1/4/24
13%</t>
  </si>
  <si>
    <t>06 84 38 55 07
LENFANT DOMINIQUE 1/4/24
17%</t>
  </si>
  <si>
    <t>06 13 95 29 34
LUXIMON BEEMAH 1/4/24
13%</t>
  </si>
  <si>
    <t>06 41 80 75 68
MARTIN JEAN LOUIS 1/4/24
13%</t>
  </si>
  <si>
    <t>06 21 03 99 10
MEDKOUR AMAR 1/4/24
13%</t>
  </si>
  <si>
    <t xml:space="preserve">resiliation réclamé rappel prévu </t>
  </si>
  <si>
    <t>06 50 71 46 59
NUBUL PHILIPPE 1/4/24
13%</t>
  </si>
  <si>
    <t>06 84 96 12 65
OLLIVIER CLAUDE 1/4/24
13%</t>
  </si>
  <si>
    <t>06 24 62 00 48
PAUPERT LOUISETTE 1/4/24
13%</t>
  </si>
  <si>
    <t>06 61 86 15 67
PENSEDENT MICHELINE 1/4/24
13%</t>
  </si>
  <si>
    <t>06 29 30 83 90
SAUVAGE NELLY 1/4/24
13%</t>
  </si>
  <si>
    <t>33 bis avenu generale degaule 94420</t>
  </si>
  <si>
    <t xml:space="preserve">mail a envoyer avec le num de téléphone </t>
  </si>
  <si>
    <t>07 69 44 64 28
HAMITOUCHE MOURAD 6/4/24
13%</t>
  </si>
  <si>
    <t>07 67 11 10 15
PONT ALAIN 9/4/24
17%</t>
  </si>
  <si>
    <t xml:space="preserve">resiliation en cours </t>
  </si>
  <si>
    <t>06 46 84 78 46
FOURNIVAL SYLVIE 10/4/24
13%</t>
  </si>
  <si>
    <t>06 84 66 33 96
CARIO ROGER 11/4/24
13%</t>
  </si>
  <si>
    <t>07 48 10 60 59
BOEYINGA ANNEKE 12/4/24
13%</t>
  </si>
  <si>
    <t>06 44 25 96 30
MAUBECHE JEAN PIERR 12/4/24
13%</t>
  </si>
  <si>
    <t>06 62 89 08 69
ANGLARD JACQUELINE 22/04/2024
13%</t>
  </si>
  <si>
    <t>06 70 35 64 24
PEYROT CHRISTIAN 22/04/2024
13%</t>
  </si>
  <si>
    <t xml:space="preserve">a rappler </t>
  </si>
  <si>
    <t xml:space="preserve"> arappler demain pour voir si il sera remboursé pour le ddentaire </t>
  </si>
  <si>
    <t>06 26 85 75 78
BELHARRAT YOUCEF 1/5/24
13%</t>
  </si>
  <si>
    <t>06 07 87 56 35
BONNIER SOLANGE 1/5/24
13%</t>
  </si>
  <si>
    <t>06 16 35 45 37
COHEN FRANCOISE 1/5/24
13%</t>
  </si>
  <si>
    <t>06 42 17 40 09
DAUCHY JULES 1/5/24
13%</t>
  </si>
  <si>
    <t>06 61 58 16 45
DENIZE MICHELE 1/5/24
13%</t>
  </si>
  <si>
    <t>07 64 17 12 32
DETEVE EDOUARD 1/5/24
13%</t>
  </si>
  <si>
    <t>06 43 34 18 51
ENAULT ERIC 1/5/24
13%</t>
  </si>
  <si>
    <t>Coordonnée</t>
  </si>
  <si>
    <t xml:space="preserve">Num de téléphone </t>
  </si>
  <si>
    <t xml:space="preserve">Statut </t>
  </si>
  <si>
    <t>a revoir</t>
  </si>
  <si>
    <t>06 87 04 14 19
LELEU JEAN PIERRE 17/06/2021
13%</t>
  </si>
  <si>
    <t>06 98 27 52 47 VEYRENC RENEE 1/6/23
13%</t>
  </si>
  <si>
    <t>LELEU JEAN PIERRE</t>
  </si>
  <si>
    <t>VEYRENC RENEE</t>
  </si>
  <si>
    <t>SIBAHI SOMAH FRAN</t>
  </si>
  <si>
    <t>ELKEFI MONCEF</t>
  </si>
  <si>
    <t>NUBUL PHILIPPE</t>
  </si>
  <si>
    <t>HAMITOUCHE MOURAD</t>
  </si>
  <si>
    <t>CARIO ROGER</t>
  </si>
  <si>
    <t>MAUBECHE JEAN PIER</t>
  </si>
  <si>
    <t>DENIZE MICHELE</t>
  </si>
  <si>
    <t xml:space="preserve">06 87 04 14 19
</t>
  </si>
  <si>
    <t xml:space="preserve">06 98 27 52 47 </t>
  </si>
  <si>
    <t xml:space="preserve">07 50 96 60 98
</t>
  </si>
  <si>
    <t xml:space="preserve">06 61 62 32 17
</t>
  </si>
  <si>
    <t xml:space="preserve">06 50 71 46 59
</t>
  </si>
  <si>
    <t xml:space="preserve">07 69 44 64 28
</t>
  </si>
  <si>
    <t xml:space="preserve">06 84 66 33 96
</t>
  </si>
  <si>
    <t xml:space="preserve">06 44 25 96 30
</t>
  </si>
  <si>
    <t xml:space="preserve">06 61 58 16 45
</t>
  </si>
  <si>
    <t>Résilié</t>
  </si>
  <si>
    <t>SMGDCOV11744-1</t>
  </si>
  <si>
    <t xml:space="preserve">Ai contacté l'assu pour l'informer d'un emajoration de 15 % </t>
  </si>
  <si>
    <t>Contrat</t>
  </si>
  <si>
    <t>A aappeler</t>
  </si>
  <si>
    <t>F908000202846</t>
  </si>
  <si>
    <t xml:space="preserve"> SMGDCOV23721-1</t>
  </si>
  <si>
    <t>SMGDCOV18417-1</t>
  </si>
  <si>
    <t>repondeur</t>
  </si>
  <si>
    <t>SMGDCOV19926-1</t>
  </si>
  <si>
    <t>Rpondeur</t>
  </si>
  <si>
    <t>Fiche N°1602797 - Somah françoise SIBAHI</t>
  </si>
  <si>
    <t>Compagne</t>
  </si>
  <si>
    <t>il demande etre rappler selon un relanec</t>
  </si>
  <si>
    <t>Fiche N°1599457 - MARIA DUARTE NUNES</t>
  </si>
  <si>
    <t>Mail</t>
  </si>
  <si>
    <t xml:space="preserve">Ai rappelé l'assuré suite a sa demande mais il conteste juste le fait de ne pas être  informer </t>
  </si>
  <si>
    <t>gomes</t>
  </si>
  <si>
    <t>AMM</t>
  </si>
  <si>
    <t xml:space="preserve">Appel reçu </t>
  </si>
  <si>
    <t>Fiche N°1703273 - Christian PEYROT</t>
  </si>
  <si>
    <t xml:space="preserve">Assu informé de l'augmentation </t>
  </si>
  <si>
    <t>Fiche N°1630171 - Micheline TARTAG</t>
  </si>
  <si>
    <t>Fiche N°1523857 - Mhajbi ABDELKEFI</t>
  </si>
  <si>
    <t>compagne</t>
  </si>
  <si>
    <t>Fiche N°1599940 - Jean pierre MAUBECHE</t>
  </si>
  <si>
    <t>Fiche N°1614649 - Philippe NUBUL</t>
  </si>
  <si>
    <t xml:space="preserve">1716909  avat de le faire </t>
  </si>
  <si>
    <t xml:space="preserve">Explication </t>
  </si>
  <si>
    <t xml:space="preserve">Reclamation </t>
  </si>
  <si>
    <t xml:space="preserve">Injoignable </t>
  </si>
  <si>
    <t xml:space="preserve">assu injoignable </t>
  </si>
  <si>
    <t>Point a refaire</t>
  </si>
  <si>
    <t>Ai contacté l'Assuré pour un recueille de besoin ==&gt; Optique ==&gt; Dentaire =&gt; Auditif ==&gt; Je lui ai expliqué le principe et je lui envoie les deux devis plus avantageux.Elle va réfléchir et nous rappeler après.</t>
  </si>
  <si>
    <t>Fiche N°1625831 - Danielle DELRIEU</t>
  </si>
  <si>
    <t xml:space="preserve">Prévu pour lundi matin </t>
  </si>
  <si>
    <t>Fiche N°1503385 - DOMINIQUE DUBOIS</t>
  </si>
  <si>
    <t>Source :</t>
  </si>
  <si>
    <t>Standard-Murielle</t>
  </si>
  <si>
    <t>Assuré-Mail</t>
  </si>
  <si>
    <t xml:space="preserve">Demande d'explication ==&gt; </t>
  </si>
  <si>
    <t>Fiche N°1594927 - Michel MANGIN</t>
  </si>
  <si>
    <t xml:space="preserve">A Contacter </t>
  </si>
  <si>
    <t xml:space="preserve">Client demande a ce qu on l appel </t>
  </si>
  <si>
    <t>Historique</t>
  </si>
  <si>
    <t>Fiche N°1637269 - Serge COULON</t>
  </si>
  <si>
    <t>Monsieur Coulon demande à être rappelé pour revoir son contrat, car il souhaite ajouter l'option optique dans sa mutuelle.</t>
  </si>
  <si>
    <t>Standard-Maeva</t>
  </si>
  <si>
    <t xml:space="preserve">AI contacté l'assuré pour mettre le point sur l'ajout d'optique sur le contrat ==&gt; il va faire un devis aprs il nous envoie pour mettre en place une garantie </t>
  </si>
  <si>
    <t xml:space="preserve">Ai contacté l'assu qui m'a confirmer qu’il veut plus de contrat et il a déjà fait opposition sur le compte </t>
  </si>
  <si>
    <t>Source</t>
  </si>
  <si>
    <t>Ai contacté l'assuré pour lui proposé un contrat qui renforce les soins courants et la médecine douce mais avec un tarif raisonnable les tarifs ne sont pas avantageuses je lui explique je lui propose de garder ce qu'elle a actuellement avant de lui envoyé un mail en lui proposant de voir une des deux formules ,</t>
  </si>
  <si>
    <t>Résumé</t>
  </si>
  <si>
    <t>Date Rappel</t>
  </si>
  <si>
    <t>Creneau</t>
  </si>
  <si>
    <t>Fiche N°1591725 - Pascale CHETOT GAMBETTI</t>
  </si>
  <si>
    <t>Fiche N°1560288 - RAHAJALISOA RASOLONDRAIBE</t>
  </si>
  <si>
    <t>-</t>
  </si>
  <si>
    <t xml:space="preserve">Appel entrant de Mr Gomes l'époux il insiste sur l'envoie par courrier ,pour la dame je l'ai eu le vendredi pour l'informer de l'augmentation tarifaire </t>
  </si>
  <si>
    <t>AI contacté l'assuré pour mettre le point sur l'ajout d'optique sur le contrat ==&gt; il va faire un devis aprés il nous envoie pour mettre en place une garantie</t>
  </si>
  <si>
    <t xml:space="preserve">Ai contacté l'assuré ==&gt; Injoignable </t>
  </si>
  <si>
    <t>Ai contacté l'assuré mais elle préfére qu'n en parle demain matin</t>
  </si>
  <si>
    <t>13:48</t>
  </si>
  <si>
    <t>1574146</t>
  </si>
  <si>
    <t>Liliane MENTREL</t>
  </si>
  <si>
    <t>14:31</t>
  </si>
  <si>
    <t>1344695</t>
  </si>
  <si>
    <t>Sylvie CHANSIGAUD</t>
  </si>
  <si>
    <t>11:38</t>
  </si>
  <si>
    <t>314064</t>
  </si>
  <si>
    <t>Didier LE PARC</t>
  </si>
  <si>
    <t>09:25</t>
  </si>
  <si>
    <t>1611218</t>
  </si>
  <si>
    <t>DANIELLE SCANTLEBURY</t>
  </si>
  <si>
    <t>15:51</t>
  </si>
  <si>
    <t>1602797</t>
  </si>
  <si>
    <t>Somah françoise SIBAHI</t>
  </si>
  <si>
    <t>15:24</t>
  </si>
  <si>
    <t>1630171</t>
  </si>
  <si>
    <t>Micheline TARTAG</t>
  </si>
  <si>
    <t>15:47</t>
  </si>
  <si>
    <t>1625831</t>
  </si>
  <si>
    <t>Danielle DELRIEU</t>
  </si>
  <si>
    <t>09:48</t>
  </si>
  <si>
    <t>1594927</t>
  </si>
  <si>
    <t>Michel MANGIN</t>
  </si>
  <si>
    <t>09:50</t>
  </si>
  <si>
    <t>09:55</t>
  </si>
  <si>
    <t>1637269</t>
  </si>
  <si>
    <t>Serge COULON</t>
  </si>
  <si>
    <t>11:49</t>
  </si>
  <si>
    <t>13:23</t>
  </si>
  <si>
    <t>1591725</t>
  </si>
  <si>
    <t>Pascale CHETOT GAMBETTI</t>
  </si>
  <si>
    <t>16:07</t>
  </si>
  <si>
    <t>1560288</t>
  </si>
  <si>
    <t>RAHAJALISOA RASOLONDRAIBE</t>
  </si>
  <si>
    <t xml:space="preserve">Assuré injoignable </t>
  </si>
  <si>
    <t xml:space="preserve">Assuré injoignable je luiu laisse un message sur répondeur </t>
  </si>
  <si>
    <t>Assuré injoignable  ==&gt; C2 176,65 €</t>
  </si>
  <si>
    <t>Dossier pris en main par Gad</t>
  </si>
  <si>
    <t xml:space="preserve">Assuré m’a contacté pour renforcé le dentaire ==je lui envoie la proposition en attandant le devis de 6,500 € comme retour </t>
  </si>
  <si>
    <t>Fiche N°1629776 - Emma PLANQUES</t>
  </si>
  <si>
    <t>La cliente signale une augmentation à partir du mois de janvier. Elle a fait la demande directement à April, qui a répondu qu'ils prenaient en charge sa demande. Merci de la contacter sur le fixe au 04 93 79 72 44, car son portable ne fonctionne pas. @Nora</t>
  </si>
  <si>
    <t xml:space="preserve"> Assu conteste l'augmentation = de 134.50 € à 154.50€ , je lui propose un nouveau contrat == elle part chez son médecin et je la rappel après.</t>
  </si>
  <si>
    <t>Fiche N°1604976 - MARIAMA MAECHA SOILIHI</t>
  </si>
  <si>
    <t>Standard-Anais</t>
  </si>
  <si>
    <t xml:space="preserve">la cliente souhaite savoir si l'option optique est incluse dans son contrat. ==&gt; mail envoyé 
</t>
  </si>
  <si>
    <t xml:space="preserve">Assu injoignable </t>
  </si>
  <si>
    <t xml:space="preserve">Assu me confirme qu ila aura sa consultation le mercredi prochain je programme un rappel le jeudi matin pour qu'il m'envoie le devis </t>
  </si>
  <si>
    <t>Fiche N°575358 - Catherine EVRARD</t>
  </si>
  <si>
    <t xml:space="preserve">Assurée aura des besoin =&gt;
Dentier =&gt; elle compte pas le changer mtn 
Optique ==&gt;après le devis 
Auditif ==&gt; elle s'est appareillée récemment  
je lui envoie 3 propositions et je prévois un rappel après une semaine </t>
  </si>
</sst>
</file>

<file path=xl/styles.xml><?xml version="1.0" encoding="utf-8"?>
<styleSheet xmlns="http://schemas.openxmlformats.org/spreadsheetml/2006/main">
  <numFmts count="6">
    <numFmt numFmtId="164" formatCode="[$-F800]dddd\,\ mmmm\ dd\,\ yyyy"/>
    <numFmt numFmtId="165" formatCode="0#&quot; &quot;##&quot; &quot;##&quot; &quot;##&quot; &quot;##"/>
    <numFmt numFmtId="166" formatCode="h:mm;@"/>
    <numFmt numFmtId="167" formatCode="d/m/yy\ h:mm;@"/>
    <numFmt numFmtId="168" formatCode="[$-40C]d\ mmmm\ yyyy;@"/>
    <numFmt numFmtId="169" formatCode="dddd\-mmmm\-yyyy"/>
  </numFmts>
  <fonts count="22">
    <font>
      <sz val="11"/>
      <color theme="1"/>
      <name val="Aptos Narrow"/>
      <family val="2"/>
      <scheme val="minor"/>
    </font>
    <font>
      <b/>
      <sz val="11"/>
      <color theme="1"/>
      <name val="Aptos Narrow"/>
      <family val="2"/>
      <scheme val="minor"/>
    </font>
    <font>
      <b/>
      <sz val="12"/>
      <color theme="1"/>
      <name val="Aptos Narrow"/>
      <family val="2"/>
      <scheme val="minor"/>
    </font>
    <font>
      <b/>
      <sz val="11"/>
      <color theme="3" tint="-0.499984740745262"/>
      <name val="Aptos Narrow"/>
      <family val="2"/>
      <scheme val="minor"/>
    </font>
    <font>
      <sz val="11"/>
      <color rgb="FFFF0000"/>
      <name val="Aptos Narrow"/>
      <family val="2"/>
      <scheme val="minor"/>
    </font>
    <font>
      <b/>
      <sz val="11"/>
      <color theme="1"/>
      <name val="Aptos Narrow"/>
      <scheme val="minor"/>
    </font>
    <font>
      <sz val="22"/>
      <color rgb="FFFF0000"/>
      <name val="Aptos Narrow"/>
      <scheme val="minor"/>
    </font>
    <font>
      <b/>
      <sz val="11"/>
      <color theme="4" tint="-0.499984740745262"/>
      <name val="Aptos Narrow"/>
      <scheme val="minor"/>
    </font>
    <font>
      <sz val="11"/>
      <color theme="0"/>
      <name val="Aptos Narrow"/>
      <family val="2"/>
      <scheme val="minor"/>
    </font>
    <font>
      <b/>
      <sz val="11"/>
      <color rgb="FFFF0000"/>
      <name val="Aptos Narrow"/>
      <scheme val="minor"/>
    </font>
    <font>
      <b/>
      <sz val="11"/>
      <color theme="3" tint="0.249977111117893"/>
      <name val="Aptos Narrow"/>
      <family val="2"/>
      <scheme val="minor"/>
    </font>
    <font>
      <b/>
      <sz val="11"/>
      <color theme="2"/>
      <name val="Aptos Narrow"/>
      <family val="2"/>
      <scheme val="minor"/>
    </font>
    <font>
      <b/>
      <sz val="11"/>
      <color rgb="FFCC0000"/>
      <name val="Aptos Narrow"/>
      <family val="2"/>
      <scheme val="minor"/>
    </font>
    <font>
      <b/>
      <sz val="11"/>
      <name val="Aptos Narrow"/>
      <family val="2"/>
      <scheme val="minor"/>
    </font>
    <font>
      <sz val="11"/>
      <name val="Aptos Narrow"/>
      <family val="2"/>
      <scheme val="minor"/>
    </font>
    <font>
      <b/>
      <sz val="10"/>
      <color theme="2"/>
      <name val="Aptos Narrow"/>
      <family val="2"/>
      <scheme val="minor"/>
    </font>
    <font>
      <b/>
      <sz val="10"/>
      <color theme="0"/>
      <name val="Aptos Narrow"/>
      <family val="2"/>
      <scheme val="minor"/>
    </font>
    <font>
      <b/>
      <sz val="9"/>
      <color theme="0"/>
      <name val="Aptos Narrow"/>
      <family val="2"/>
      <scheme val="minor"/>
    </font>
    <font>
      <b/>
      <i/>
      <sz val="16"/>
      <color theme="0"/>
      <name val="Aptos Narrow"/>
      <family val="2"/>
      <scheme val="minor"/>
    </font>
    <font>
      <b/>
      <sz val="8"/>
      <color theme="3" tint="-0.499984740745262"/>
      <name val="Aptos Narrow"/>
      <family val="2"/>
      <scheme val="minor"/>
    </font>
    <font>
      <sz val="8"/>
      <color theme="1"/>
      <name val="Aptos Narrow"/>
      <family val="2"/>
      <scheme val="minor"/>
    </font>
    <font>
      <b/>
      <sz val="11"/>
      <color theme="0" tint="-0.499984740745262"/>
      <name val="Aptos Narrow"/>
      <scheme val="minor"/>
    </font>
  </fonts>
  <fills count="13">
    <fill>
      <patternFill patternType="none"/>
    </fill>
    <fill>
      <patternFill patternType="gray125"/>
    </fill>
    <fill>
      <patternFill patternType="solid">
        <fgColor theme="0" tint="-0.34998626667073579"/>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0"/>
        <bgColor indexed="64"/>
      </patternFill>
    </fill>
    <fill>
      <patternFill patternType="solid">
        <fgColor theme="3" tint="9.9978637043366805E-2"/>
        <bgColor indexed="64"/>
      </patternFill>
    </fill>
    <fill>
      <patternFill patternType="solid">
        <fgColor theme="3" tint="0.749992370372631"/>
        <bgColor indexed="64"/>
      </patternFill>
    </fill>
    <fill>
      <patternFill patternType="solid">
        <fgColor theme="1" tint="4.9989318521683403E-2"/>
        <bgColor indexed="64"/>
      </patternFill>
    </fill>
    <fill>
      <patternFill patternType="solid">
        <fgColor theme="1" tint="0.14999847407452621"/>
        <bgColor indexed="64"/>
      </patternFill>
    </fill>
    <fill>
      <patternFill patternType="solid">
        <fgColor theme="3" tint="0.89999084444715716"/>
        <bgColor indexed="64"/>
      </patternFill>
    </fill>
    <fill>
      <patternFill patternType="solid">
        <fgColor theme="2" tint="-0.249977111117893"/>
        <bgColor indexed="64"/>
      </patternFill>
    </fill>
    <fill>
      <patternFill patternType="solid">
        <fgColor theme="3" tint="0.249977111117893"/>
        <bgColor indexed="64"/>
      </patternFill>
    </fill>
  </fills>
  <borders count="12">
    <border>
      <left/>
      <right/>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102">
    <xf numFmtId="0" fontId="0" fillId="0" borderId="0" xfId="0"/>
    <xf numFmtId="0" fontId="0" fillId="0" borderId="0" xfId="0" applyAlignment="1">
      <alignment horizontal="center"/>
    </xf>
    <xf numFmtId="0" fontId="2" fillId="0" borderId="0" xfId="0" applyFont="1" applyAlignment="1">
      <alignment horizontal="center"/>
    </xf>
    <xf numFmtId="14" fontId="0" fillId="0" borderId="0" xfId="0" applyNumberFormat="1" applyAlignment="1">
      <alignment horizontal="center"/>
    </xf>
    <xf numFmtId="0" fontId="3" fillId="2" borderId="0" xfId="0" applyFont="1" applyFill="1" applyAlignment="1">
      <alignment horizontal="center"/>
    </xf>
    <xf numFmtId="0" fontId="0" fillId="3" borderId="0" xfId="0" applyFill="1" applyAlignment="1">
      <alignment horizontal="center"/>
    </xf>
    <xf numFmtId="0" fontId="5" fillId="0" borderId="0" xfId="0" applyFont="1" applyAlignment="1">
      <alignment horizontal="center"/>
    </xf>
    <xf numFmtId="0" fontId="0" fillId="0" borderId="0" xfId="0" applyAlignment="1">
      <alignment wrapText="1"/>
    </xf>
    <xf numFmtId="0" fontId="0" fillId="4" borderId="0" xfId="0" applyFill="1"/>
    <xf numFmtId="0" fontId="0" fillId="2" borderId="0" xfId="0" applyFill="1" applyAlignment="1">
      <alignment horizontal="center" vertical="center" wrapText="1"/>
    </xf>
    <xf numFmtId="0" fontId="4" fillId="0" borderId="0" xfId="0" applyFont="1"/>
    <xf numFmtId="20" fontId="0" fillId="0" borderId="0" xfId="0" applyNumberFormat="1" applyAlignment="1">
      <alignment wrapText="1"/>
    </xf>
    <xf numFmtId="0" fontId="0" fillId="4" borderId="2" xfId="0" applyFill="1" applyBorder="1" applyAlignment="1">
      <alignment horizontal="center" vertical="center" wrapText="1"/>
    </xf>
    <xf numFmtId="0" fontId="7" fillId="4" borderId="0" xfId="0" applyFont="1" applyFill="1" applyAlignment="1">
      <alignment wrapText="1"/>
    </xf>
    <xf numFmtId="0" fontId="7" fillId="4" borderId="0" xfId="0" applyFont="1" applyFill="1"/>
    <xf numFmtId="0" fontId="0" fillId="2" borderId="0" xfId="0" applyFill="1" applyAlignment="1">
      <alignment wrapText="1"/>
    </xf>
    <xf numFmtId="0" fontId="9" fillId="0" borderId="0" xfId="0" applyFont="1" applyAlignment="1">
      <alignment horizontal="center"/>
    </xf>
    <xf numFmtId="0" fontId="1" fillId="0" borderId="0" xfId="0" applyFont="1" applyAlignment="1">
      <alignment horizontal="center" vertical="center"/>
    </xf>
    <xf numFmtId="0" fontId="0" fillId="0" borderId="0" xfId="0" applyAlignment="1">
      <alignment horizontal="center" vertical="center"/>
    </xf>
    <xf numFmtId="165" fontId="11" fillId="8" borderId="0" xfId="0" applyNumberFormat="1" applyFont="1" applyFill="1" applyAlignment="1">
      <alignment horizontal="center"/>
    </xf>
    <xf numFmtId="164" fontId="11" fillId="8" borderId="0" xfId="0" applyNumberFormat="1" applyFont="1" applyFill="1" applyAlignment="1">
      <alignment horizontal="center"/>
    </xf>
    <xf numFmtId="0" fontId="8" fillId="0" borderId="0" xfId="0" applyFont="1" applyAlignment="1">
      <alignment horizontal="center"/>
    </xf>
    <xf numFmtId="0" fontId="0" fillId="6" borderId="3" xfId="0" applyFill="1" applyBorder="1" applyAlignment="1">
      <alignment horizontal="center" vertical="center"/>
    </xf>
    <xf numFmtId="0" fontId="0" fillId="6" borderId="4" xfId="0" applyFill="1" applyBorder="1" applyAlignment="1">
      <alignment horizontal="center" vertical="center"/>
    </xf>
    <xf numFmtId="0" fontId="0" fillId="6" borderId="5" xfId="0" applyFill="1" applyBorder="1" applyAlignment="1">
      <alignment horizontal="center" vertical="center"/>
    </xf>
    <xf numFmtId="164" fontId="11" fillId="9" borderId="0" xfId="0" applyNumberFormat="1" applyFont="1" applyFill="1" applyAlignment="1">
      <alignment horizontal="center"/>
    </xf>
    <xf numFmtId="167" fontId="0" fillId="0" borderId="0" xfId="0" applyNumberFormat="1" applyAlignment="1">
      <alignment horizontal="center"/>
    </xf>
    <xf numFmtId="0" fontId="0" fillId="0" borderId="0" xfId="0" applyAlignment="1">
      <alignment vertical="center"/>
    </xf>
    <xf numFmtId="165" fontId="0" fillId="0" borderId="0" xfId="0" applyNumberFormat="1" applyAlignment="1">
      <alignment horizontal="center"/>
    </xf>
    <xf numFmtId="168" fontId="0" fillId="0" borderId="0" xfId="0" applyNumberFormat="1" applyAlignment="1">
      <alignment horizontal="center"/>
    </xf>
    <xf numFmtId="166" fontId="0" fillId="0" borderId="0" xfId="0" applyNumberFormat="1" applyAlignment="1">
      <alignment horizontal="center"/>
    </xf>
    <xf numFmtId="0" fontId="14" fillId="0" borderId="0" xfId="0" applyFont="1" applyAlignment="1">
      <alignment horizontal="center"/>
    </xf>
    <xf numFmtId="168" fontId="0" fillId="0" borderId="0" xfId="0" applyNumberFormat="1" applyAlignment="1">
      <alignment horizontal="center" vertical="center"/>
    </xf>
    <xf numFmtId="20" fontId="0" fillId="0" borderId="0" xfId="0" applyNumberFormat="1"/>
    <xf numFmtId="166" fontId="1" fillId="7" borderId="9" xfId="0" applyNumberFormat="1" applyFont="1" applyFill="1" applyBorder="1" applyAlignment="1">
      <alignment horizontal="center"/>
    </xf>
    <xf numFmtId="0" fontId="2" fillId="7" borderId="11" xfId="0" applyFont="1" applyFill="1" applyBorder="1" applyAlignment="1">
      <alignment horizontal="center" vertical="center"/>
    </xf>
    <xf numFmtId="165" fontId="1" fillId="7" borderId="11" xfId="0" applyNumberFormat="1" applyFont="1" applyFill="1" applyBorder="1" applyAlignment="1">
      <alignment horizontal="center" vertical="center"/>
    </xf>
    <xf numFmtId="0" fontId="1" fillId="7" borderId="11" xfId="0" applyFont="1" applyFill="1" applyBorder="1" applyAlignment="1">
      <alignment horizontal="center" vertical="center"/>
    </xf>
    <xf numFmtId="0" fontId="10" fillId="0" borderId="0" xfId="0" applyFont="1" applyAlignment="1">
      <alignment horizontal="center"/>
    </xf>
    <xf numFmtId="0" fontId="0" fillId="0" borderId="0" xfId="0" applyAlignment="1">
      <alignment horizontal="left"/>
    </xf>
    <xf numFmtId="0" fontId="13" fillId="5" borderId="1" xfId="0" applyFont="1" applyFill="1" applyBorder="1" applyAlignment="1">
      <alignment horizontal="center"/>
    </xf>
    <xf numFmtId="14" fontId="8" fillId="0" borderId="0" xfId="0" applyNumberFormat="1" applyFont="1" applyAlignment="1">
      <alignment horizontal="center"/>
    </xf>
    <xf numFmtId="0" fontId="12" fillId="3" borderId="0" xfId="0" applyFont="1" applyFill="1" applyAlignment="1">
      <alignment horizontal="center" vertical="top"/>
    </xf>
    <xf numFmtId="165" fontId="15" fillId="8" borderId="0" xfId="0" applyNumberFormat="1" applyFont="1" applyFill="1" applyAlignment="1">
      <alignment horizontal="center"/>
    </xf>
    <xf numFmtId="164" fontId="15" fillId="9" borderId="0" xfId="0" applyNumberFormat="1" applyFont="1" applyFill="1" applyAlignment="1">
      <alignment horizontal="center"/>
    </xf>
    <xf numFmtId="0" fontId="16" fillId="8" borderId="0" xfId="0" applyNumberFormat="1" applyFont="1" applyFill="1" applyAlignment="1">
      <alignment horizontal="center" vertical="center" wrapText="1"/>
    </xf>
    <xf numFmtId="164" fontId="16" fillId="8" borderId="0" xfId="0" applyNumberFormat="1" applyFont="1" applyFill="1" applyAlignment="1">
      <alignment horizontal="center" vertical="center"/>
    </xf>
    <xf numFmtId="0" fontId="16" fillId="8" borderId="0" xfId="0" applyFont="1" applyFill="1" applyAlignment="1">
      <alignment horizontal="center" vertical="center" wrapText="1"/>
    </xf>
    <xf numFmtId="0" fontId="17" fillId="8" borderId="0" xfId="0" applyNumberFormat="1" applyFont="1" applyFill="1" applyAlignment="1">
      <alignment horizontal="center" vertical="center" wrapText="1"/>
    </xf>
    <xf numFmtId="0" fontId="1" fillId="0" borderId="0" xfId="0" applyFont="1" applyAlignment="1">
      <alignment horizontal="center"/>
    </xf>
    <xf numFmtId="164" fontId="18" fillId="0" borderId="0" xfId="0" applyNumberFormat="1" applyFont="1" applyAlignment="1">
      <alignment horizontal="center"/>
    </xf>
    <xf numFmtId="167" fontId="0" fillId="0" borderId="0" xfId="0" applyNumberFormat="1" applyAlignment="1">
      <alignment horizontal="center" vertical="center"/>
    </xf>
    <xf numFmtId="0" fontId="0" fillId="5" borderId="0" xfId="0" applyFill="1" applyAlignment="1">
      <alignment horizontal="center" vertical="center"/>
    </xf>
    <xf numFmtId="166" fontId="0" fillId="0" borderId="0" xfId="0" applyNumberFormat="1" applyAlignment="1">
      <alignment horizontal="center" vertical="center"/>
    </xf>
    <xf numFmtId="0" fontId="8" fillId="5" borderId="0" xfId="0" applyFont="1" applyFill="1" applyAlignment="1">
      <alignment horizontal="center" vertical="center"/>
    </xf>
    <xf numFmtId="0" fontId="2" fillId="0" borderId="0" xfId="0" applyFont="1" applyAlignment="1">
      <alignment horizontal="center" vertical="center"/>
    </xf>
    <xf numFmtId="14" fontId="3" fillId="2" borderId="0" xfId="0" applyNumberFormat="1" applyFont="1" applyFill="1" applyAlignment="1">
      <alignment horizontal="center" vertical="center"/>
    </xf>
    <xf numFmtId="0" fontId="3" fillId="2" borderId="0" xfId="0" applyFont="1" applyFill="1" applyAlignment="1">
      <alignment horizontal="center" vertical="center"/>
    </xf>
    <xf numFmtId="167" fontId="3" fillId="2" borderId="0" xfId="0" applyNumberFormat="1" applyFont="1" applyFill="1" applyAlignment="1">
      <alignment horizontal="center" vertical="center"/>
    </xf>
    <xf numFmtId="14" fontId="0" fillId="0" borderId="0" xfId="0" applyNumberFormat="1" applyAlignment="1">
      <alignment horizontal="center" vertical="center"/>
    </xf>
    <xf numFmtId="0" fontId="10" fillId="0" borderId="0" xfId="0" applyFont="1" applyAlignment="1">
      <alignment horizontal="center" vertical="center"/>
    </xf>
    <xf numFmtId="0" fontId="10" fillId="4" borderId="0" xfId="0" applyFont="1" applyFill="1" applyAlignment="1">
      <alignment horizontal="center" vertical="center"/>
    </xf>
    <xf numFmtId="0" fontId="19" fillId="2" borderId="0" xfId="0" applyFont="1" applyFill="1" applyAlignment="1">
      <alignment horizontal="center" vertical="center"/>
    </xf>
    <xf numFmtId="0" fontId="20" fillId="0" borderId="0" xfId="0" applyFont="1" applyAlignment="1">
      <alignment horizontal="center" vertical="center"/>
    </xf>
    <xf numFmtId="0" fontId="3" fillId="2" borderId="0" xfId="0" applyFont="1" applyFill="1" applyAlignment="1">
      <alignment horizontal="left" vertical="center"/>
    </xf>
    <xf numFmtId="0" fontId="0" fillId="0" borderId="0" xfId="0" applyAlignment="1">
      <alignment horizontal="left" vertical="center"/>
    </xf>
    <xf numFmtId="0" fontId="10" fillId="0" borderId="10" xfId="0" applyFont="1" applyBorder="1" applyAlignment="1">
      <alignment horizontal="right" vertical="center"/>
    </xf>
    <xf numFmtId="0" fontId="0" fillId="0" borderId="0" xfId="0" applyAlignment="1">
      <alignment horizontal="right" vertical="center"/>
    </xf>
    <xf numFmtId="0" fontId="10" fillId="0" borderId="0" xfId="0" applyFont="1" applyAlignment="1">
      <alignment horizontal="right" vertical="center"/>
    </xf>
    <xf numFmtId="0" fontId="10" fillId="0" borderId="6" xfId="0" applyFont="1" applyBorder="1" applyAlignment="1">
      <alignment horizontal="center" vertical="center"/>
    </xf>
    <xf numFmtId="0" fontId="10" fillId="0" borderId="8" xfId="0" applyFont="1" applyBorder="1" applyAlignment="1">
      <alignment horizontal="center" vertical="center"/>
    </xf>
    <xf numFmtId="164" fontId="0" fillId="0" borderId="0" xfId="0" applyNumberFormat="1" applyAlignment="1">
      <alignment horizontal="center" vertical="center"/>
    </xf>
    <xf numFmtId="0" fontId="8" fillId="0" borderId="0" xfId="0" applyFont="1" applyAlignment="1">
      <alignment horizontal="center" vertical="center"/>
    </xf>
    <xf numFmtId="0" fontId="5" fillId="0" borderId="0" xfId="0" applyFont="1" applyAlignment="1">
      <alignment horizontal="center" vertical="center"/>
    </xf>
    <xf numFmtId="0" fontId="2" fillId="7" borderId="11" xfId="0" applyFont="1" applyFill="1" applyBorder="1" applyAlignment="1">
      <alignment horizontal="center" vertical="center" wrapText="1"/>
    </xf>
    <xf numFmtId="0" fontId="0" fillId="0" borderId="0" xfId="0" applyBorder="1" applyAlignment="1">
      <alignment horizontal="center"/>
    </xf>
    <xf numFmtId="164" fontId="15" fillId="8" borderId="0" xfId="0" applyNumberFormat="1" applyFont="1" applyFill="1" applyAlignment="1">
      <alignment horizontal="center" vertical="center" wrapText="1"/>
    </xf>
    <xf numFmtId="0" fontId="0" fillId="2" borderId="0" xfId="0" applyFill="1" applyAlignment="1">
      <alignment horizontal="center" vertical="center"/>
    </xf>
    <xf numFmtId="14" fontId="0" fillId="2" borderId="0" xfId="0" applyNumberFormat="1" applyFill="1" applyAlignment="1">
      <alignment horizontal="center" vertical="center"/>
    </xf>
    <xf numFmtId="0" fontId="20" fillId="2" borderId="0" xfId="0" applyFont="1" applyFill="1" applyAlignment="1">
      <alignment horizontal="center" vertical="center"/>
    </xf>
    <xf numFmtId="167" fontId="0" fillId="2" borderId="0" xfId="0" applyNumberFormat="1" applyFill="1" applyAlignment="1">
      <alignment horizontal="center" vertical="center"/>
    </xf>
    <xf numFmtId="168" fontId="0" fillId="2" borderId="0" xfId="0" applyNumberFormat="1" applyFill="1" applyAlignment="1">
      <alignment horizontal="center" vertical="center"/>
    </xf>
    <xf numFmtId="166" fontId="0" fillId="2" borderId="0" xfId="0" applyNumberFormat="1" applyFill="1" applyAlignment="1">
      <alignment horizontal="center" vertical="center"/>
    </xf>
    <xf numFmtId="0" fontId="0" fillId="2" borderId="0" xfId="0" applyFill="1" applyAlignment="1">
      <alignment horizontal="left" vertical="center"/>
    </xf>
    <xf numFmtId="0" fontId="21" fillId="10" borderId="0" xfId="0" applyFont="1" applyFill="1" applyAlignment="1">
      <alignment horizontal="center"/>
    </xf>
    <xf numFmtId="0" fontId="0" fillId="11" borderId="0" xfId="0" applyFill="1" applyAlignment="1">
      <alignment horizontal="center" vertical="center"/>
    </xf>
    <xf numFmtId="14" fontId="0" fillId="11" borderId="0" xfId="0" applyNumberFormat="1" applyFill="1" applyAlignment="1">
      <alignment horizontal="center" vertical="center"/>
    </xf>
    <xf numFmtId="0" fontId="20" fillId="11" borderId="0" xfId="0" applyFont="1" applyFill="1" applyAlignment="1">
      <alignment horizontal="center" vertical="center"/>
    </xf>
    <xf numFmtId="167" fontId="0" fillId="11" borderId="0" xfId="0" applyNumberFormat="1" applyFill="1" applyAlignment="1">
      <alignment horizontal="center" vertical="center"/>
    </xf>
    <xf numFmtId="168" fontId="0" fillId="11" borderId="0" xfId="0" applyNumberFormat="1" applyFill="1" applyAlignment="1">
      <alignment horizontal="center" vertical="center"/>
    </xf>
    <xf numFmtId="166" fontId="0" fillId="11" borderId="0" xfId="0" applyNumberFormat="1" applyFill="1" applyAlignment="1">
      <alignment horizontal="center" vertical="center"/>
    </xf>
    <xf numFmtId="0" fontId="0" fillId="11" borderId="0" xfId="0" applyFill="1" applyAlignment="1">
      <alignment horizontal="left" vertical="center"/>
    </xf>
    <xf numFmtId="0" fontId="0" fillId="12" borderId="0" xfId="0" applyFill="1" applyAlignment="1">
      <alignment horizontal="center" vertical="center"/>
    </xf>
    <xf numFmtId="14" fontId="0" fillId="12" borderId="0" xfId="0" applyNumberFormat="1" applyFill="1" applyAlignment="1">
      <alignment horizontal="center" vertical="center"/>
    </xf>
    <xf numFmtId="0" fontId="20" fillId="12" borderId="0" xfId="0" applyFont="1" applyFill="1" applyAlignment="1">
      <alignment horizontal="center" vertical="center"/>
    </xf>
    <xf numFmtId="167" fontId="0" fillId="12" borderId="0" xfId="0" applyNumberFormat="1" applyFill="1" applyAlignment="1">
      <alignment horizontal="center" vertical="center"/>
    </xf>
    <xf numFmtId="168" fontId="0" fillId="12" borderId="0" xfId="0" applyNumberFormat="1" applyFill="1" applyAlignment="1">
      <alignment horizontal="center" vertical="center"/>
    </xf>
    <xf numFmtId="166" fontId="0" fillId="12" borderId="0" xfId="0" applyNumberFormat="1" applyFill="1" applyAlignment="1">
      <alignment horizontal="center" vertical="center"/>
    </xf>
    <xf numFmtId="0" fontId="0" fillId="12" borderId="0" xfId="0" applyFill="1" applyAlignment="1">
      <alignment horizontal="left" vertical="center"/>
    </xf>
    <xf numFmtId="169" fontId="1" fillId="7" borderId="7" xfId="0" applyNumberFormat="1" applyFont="1" applyFill="1" applyBorder="1" applyAlignment="1">
      <alignment horizontal="center" vertical="center"/>
    </xf>
    <xf numFmtId="0" fontId="0" fillId="0" borderId="0" xfId="0" applyAlignment="1">
      <alignment horizontal="center" wrapText="1"/>
    </xf>
    <xf numFmtId="164" fontId="11" fillId="8" borderId="0" xfId="0" applyNumberFormat="1" applyFont="1" applyFill="1" applyAlignment="1">
      <alignment horizontal="center" vertical="center" wrapText="1"/>
    </xf>
  </cellXfs>
  <cellStyles count="1">
    <cellStyle name="Normal" xfId="0" builtinId="0"/>
  </cellStyles>
  <dxfs count="4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1" tint="0.14996795556505021"/>
        </patternFill>
      </fill>
    </dxf>
    <dxf>
      <font>
        <color theme="1" tint="0.14996795556505021"/>
      </font>
      <fill>
        <patternFill>
          <bgColor theme="1" tint="0.14996795556505021"/>
        </patternFill>
      </fill>
    </dxf>
    <dxf>
      <fill>
        <patternFill>
          <bgColor theme="1" tint="0.14996795556505021"/>
        </patternFill>
      </fill>
    </dxf>
    <dxf>
      <font>
        <color theme="1" tint="0.14996795556505021"/>
      </font>
      <fill>
        <patternFill>
          <bgColor theme="1" tint="0.14996795556505021"/>
        </patternFill>
      </fill>
    </dxf>
    <dxf>
      <fill>
        <patternFill>
          <bgColor theme="1" tint="0.14996795556505021"/>
        </patternFill>
      </fill>
    </dxf>
    <dxf>
      <font>
        <color theme="1" tint="0.14996795556505021"/>
      </font>
      <fill>
        <patternFill>
          <bgColor theme="1" tint="0.14996795556505021"/>
        </patternFill>
      </fill>
    </dxf>
    <dxf>
      <fill>
        <patternFill>
          <bgColor theme="1" tint="0.14996795556505021"/>
        </patternFill>
      </fill>
    </dxf>
    <dxf>
      <font>
        <color theme="1" tint="4.9989318521683403E-2"/>
      </font>
      <fill>
        <patternFill>
          <bgColor theme="1" tint="4.9989318521683403E-2"/>
        </patternFill>
      </fill>
    </dxf>
    <dxf>
      <fill>
        <patternFill>
          <bgColor theme="1" tint="0.14996795556505021"/>
        </patternFill>
      </fill>
    </dxf>
    <dxf>
      <font>
        <color theme="1" tint="4.9989318521683403E-2"/>
      </font>
      <fill>
        <patternFill>
          <bgColor theme="1" tint="4.9989318521683403E-2"/>
        </patternFill>
      </fill>
    </dxf>
    <dxf>
      <fill>
        <patternFill>
          <bgColor theme="1" tint="0.14996795556505021"/>
        </patternFill>
      </fill>
    </dxf>
    <dxf>
      <font>
        <color theme="1" tint="4.9989318521683403E-2"/>
      </font>
      <fill>
        <patternFill>
          <bgColor theme="1" tint="4.9989318521683403E-2"/>
        </patternFill>
      </fill>
    </dxf>
    <dxf>
      <fill>
        <patternFill>
          <bgColor theme="1" tint="0.14996795556505021"/>
        </patternFill>
      </fill>
    </dxf>
    <dxf>
      <font>
        <color theme="1" tint="0.14996795556505021"/>
      </font>
      <fill>
        <patternFill>
          <bgColor theme="1" tint="0.14996795556505021"/>
        </patternFill>
      </fill>
    </dxf>
    <dxf>
      <fill>
        <patternFill>
          <bgColor theme="1" tint="0.14996795556505021"/>
        </patternFill>
      </fill>
    </dxf>
    <dxf>
      <font>
        <color theme="1" tint="0.14996795556505021"/>
      </font>
      <fill>
        <patternFill>
          <bgColor theme="1" tint="0.14996795556505021"/>
        </patternFill>
      </fill>
    </dxf>
    <dxf>
      <fill>
        <patternFill>
          <bgColor theme="1" tint="0.14996795556505021"/>
        </patternFill>
      </fill>
    </dxf>
    <dxf>
      <font>
        <color theme="1" tint="0.14996795556505021"/>
      </font>
      <fill>
        <patternFill>
          <bgColor theme="1" tint="0.14996795556505021"/>
        </patternFill>
      </fill>
    </dxf>
    <dxf>
      <fill>
        <patternFill>
          <bgColor theme="1" tint="0.14996795556505021"/>
        </patternFill>
      </fill>
    </dxf>
    <dxf>
      <font>
        <color theme="1" tint="0.14996795556505021"/>
      </font>
      <fill>
        <patternFill>
          <bgColor theme="1" tint="0.14996795556505021"/>
        </patternFill>
      </fill>
    </dxf>
    <dxf>
      <fill>
        <patternFill>
          <bgColor theme="1" tint="0.14996795556505021"/>
        </patternFill>
      </fill>
    </dxf>
    <dxf>
      <font>
        <color theme="1" tint="4.9989318521683403E-2"/>
      </font>
      <fill>
        <patternFill>
          <bgColor theme="1" tint="4.9989318521683403E-2"/>
        </patternFill>
      </fill>
    </dxf>
    <dxf>
      <fill>
        <patternFill>
          <bgColor theme="1" tint="0.14996795556505021"/>
        </patternFill>
      </fill>
    </dxf>
    <dxf>
      <font>
        <color theme="1" tint="4.9989318521683403E-2"/>
      </font>
      <fill>
        <patternFill>
          <bgColor theme="1" tint="4.9989318521683403E-2"/>
        </patternFill>
      </fill>
    </dxf>
    <dxf>
      <fill>
        <patternFill>
          <bgColor theme="1" tint="0.14996795556505021"/>
        </patternFill>
      </fill>
    </dxf>
    <dxf>
      <font>
        <color theme="1" tint="4.9989318521683403E-2"/>
      </font>
      <fill>
        <patternFill>
          <bgColor theme="1" tint="4.9989318521683403E-2"/>
        </patternFill>
      </fill>
    </dxf>
    <dxf>
      <fill>
        <patternFill>
          <bgColor theme="1" tint="0.14996795556505021"/>
        </patternFill>
      </fill>
    </dxf>
    <dxf>
      <font>
        <color theme="1" tint="4.9989318521683403E-2"/>
      </font>
      <fill>
        <patternFill>
          <bgColor theme="1" tint="4.9989318521683403E-2"/>
        </patternFill>
      </fill>
    </dxf>
    <dxf>
      <fill>
        <patternFill>
          <bgColor theme="1" tint="0.14996795556505021"/>
        </patternFill>
      </fill>
    </dxf>
    <dxf>
      <font>
        <color theme="1" tint="0.14996795556505021"/>
      </font>
      <fill>
        <patternFill>
          <bgColor theme="1" tint="0.14996795556505021"/>
        </patternFill>
      </fill>
    </dxf>
    <dxf>
      <fill>
        <patternFill>
          <bgColor theme="1" tint="0.14996795556505021"/>
        </patternFill>
      </fill>
    </dxf>
    <dxf>
      <font>
        <color theme="1" tint="0.14996795556505021"/>
      </font>
      <fill>
        <patternFill>
          <bgColor theme="1" tint="0.14996795556505021"/>
        </patternFill>
      </fill>
    </dxf>
    <dxf>
      <fill>
        <patternFill>
          <bgColor theme="1" tint="0.14996795556505021"/>
        </patternFill>
      </fill>
    </dxf>
    <dxf>
      <font>
        <color theme="1" tint="0.14996795556505021"/>
      </font>
      <fill>
        <patternFill>
          <bgColor theme="1" tint="0.14996795556505021"/>
        </patternFill>
      </fill>
    </dxf>
    <dxf>
      <fill>
        <patternFill>
          <bgColor theme="1" tint="0.14996795556505021"/>
        </patternFill>
      </fill>
    </dxf>
    <dxf>
      <font>
        <color theme="1" tint="0.14996795556505021"/>
      </font>
      <fill>
        <patternFill>
          <bgColor theme="1" tint="0.14996795556505021"/>
        </patternFill>
      </fill>
    </dxf>
    <dxf>
      <font>
        <color theme="1" tint="4.9989318521683403E-2"/>
      </font>
      <fill>
        <patternFill>
          <bgColor theme="1" tint="4.9989318521683403E-2"/>
        </patternFill>
      </fill>
    </dxf>
    <dxf>
      <fill>
        <patternFill>
          <bgColor theme="1" tint="0.14996795556505021"/>
        </patternFill>
      </fill>
    </dxf>
  </dxfs>
  <tableStyles count="0" defaultTableStyle="TableStyleMedium2" defaultPivotStyle="PivotStyleLight16"/>
  <colors>
    <mruColors>
      <color rgb="FFFF5050"/>
      <color rgb="FFCC0000"/>
    </mruColors>
  </colors>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2</xdr:col>
      <xdr:colOff>76200</xdr:colOff>
      <xdr:row>1</xdr:row>
      <xdr:rowOff>57150</xdr:rowOff>
    </xdr:from>
    <xdr:to>
      <xdr:col>3</xdr:col>
      <xdr:colOff>771525</xdr:colOff>
      <xdr:row>2</xdr:row>
      <xdr:rowOff>152400</xdr:rowOff>
    </xdr:to>
    <xdr:sp macro="[0]!Cons" textlink="">
      <xdr:nvSpPr>
        <xdr:cNvPr id="2" name="Rectangle : coins arrondis 1">
          <a:extLst>
            <a:ext uri="{FF2B5EF4-FFF2-40B4-BE49-F238E27FC236}">
              <a16:creationId xmlns="" xmlns:a16="http://schemas.microsoft.com/office/drawing/2014/main" id="{083D7A5C-FAF8-3DF9-8203-AD610568F50B}"/>
            </a:ext>
          </a:extLst>
        </xdr:cNvPr>
        <xdr:cNvSpPr/>
      </xdr:nvSpPr>
      <xdr:spPr>
        <a:xfrm>
          <a:off x="304800" y="257175"/>
          <a:ext cx="1562100" cy="295275"/>
        </a:xfrm>
        <a:prstGeom prst="round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ctr"/>
          <a:r>
            <a:rPr lang="fr-FR" sz="1200" b="1">
              <a:solidFill>
                <a:schemeClr val="bg2"/>
              </a:solidFill>
            </a:rPr>
            <a:t>Console</a:t>
          </a:r>
        </a:p>
      </xdr:txBody>
    </xdr:sp>
    <xdr:clientData/>
  </xdr:twoCellAnchor>
  <xdr:twoCellAnchor>
    <xdr:from>
      <xdr:col>4</xdr:col>
      <xdr:colOff>142874</xdr:colOff>
      <xdr:row>21</xdr:row>
      <xdr:rowOff>114299</xdr:rowOff>
    </xdr:from>
    <xdr:to>
      <xdr:col>4</xdr:col>
      <xdr:colOff>3428999</xdr:colOff>
      <xdr:row>23</xdr:row>
      <xdr:rowOff>66674</xdr:rowOff>
    </xdr:to>
    <xdr:sp macro="[0]!CopierLigneVersAutreFeuille" textlink="">
      <xdr:nvSpPr>
        <xdr:cNvPr id="3" name="Rectangle à coins arrondis 2">
          <a:extLst>
            <a:ext uri="{FF2B5EF4-FFF2-40B4-BE49-F238E27FC236}">
              <a16:creationId xmlns="" xmlns:a16="http://schemas.microsoft.com/office/drawing/2014/main" id="{00000000-0008-0000-0000-000003000000}"/>
            </a:ext>
          </a:extLst>
        </xdr:cNvPr>
        <xdr:cNvSpPr/>
      </xdr:nvSpPr>
      <xdr:spPr>
        <a:xfrm>
          <a:off x="1800224" y="4305299"/>
          <a:ext cx="3286125" cy="314325"/>
        </a:xfrm>
        <a:prstGeom prst="round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fr-FR" sz="1100"/>
            <a:t>Enregistrer</a:t>
          </a:r>
        </a:p>
      </xdr:txBody>
    </xdr:sp>
    <xdr:clientData/>
  </xdr:twoCellAnchor>
  <xdr:twoCellAnchor>
    <xdr:from>
      <xdr:col>5</xdr:col>
      <xdr:colOff>0</xdr:colOff>
      <xdr:row>21</xdr:row>
      <xdr:rowOff>142874</xdr:rowOff>
    </xdr:from>
    <xdr:to>
      <xdr:col>5</xdr:col>
      <xdr:colOff>0</xdr:colOff>
      <xdr:row>23</xdr:row>
      <xdr:rowOff>95249</xdr:rowOff>
    </xdr:to>
    <xdr:sp macro="[0]!Cons" textlink="">
      <xdr:nvSpPr>
        <xdr:cNvPr id="4" name="Rectangle à coins arrondis 3">
          <a:extLst>
            <a:ext uri="{FF2B5EF4-FFF2-40B4-BE49-F238E27FC236}">
              <a16:creationId xmlns="" xmlns:a16="http://schemas.microsoft.com/office/drawing/2014/main" id="{00000000-0008-0000-0000-000004000000}"/>
            </a:ext>
          </a:extLst>
        </xdr:cNvPr>
        <xdr:cNvSpPr/>
      </xdr:nvSpPr>
      <xdr:spPr>
        <a:xfrm>
          <a:off x="3276600" y="4419599"/>
          <a:ext cx="0" cy="314325"/>
        </a:xfrm>
        <a:prstGeom prst="round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fr-FR" sz="1100"/>
            <a:t>Annuler</a:t>
          </a:r>
        </a:p>
      </xdr:txBody>
    </xdr:sp>
    <xdr:clientData/>
  </xdr:twoCellAnchor>
  <xdr:twoCellAnchor>
    <xdr:from>
      <xdr:col>5</xdr:col>
      <xdr:colOff>104775</xdr:colOff>
      <xdr:row>6</xdr:row>
      <xdr:rowOff>9524</xdr:rowOff>
    </xdr:from>
    <xdr:to>
      <xdr:col>5</xdr:col>
      <xdr:colOff>342900</xdr:colOff>
      <xdr:row>7</xdr:row>
      <xdr:rowOff>9524</xdr:rowOff>
    </xdr:to>
    <xdr:sp macro="[0]!Ref_Dossier" textlink="">
      <xdr:nvSpPr>
        <xdr:cNvPr id="5" name="Rectangle à coins arrondis 4">
          <a:extLst>
            <a:ext uri="{FF2B5EF4-FFF2-40B4-BE49-F238E27FC236}">
              <a16:creationId xmlns="" xmlns:a16="http://schemas.microsoft.com/office/drawing/2014/main" id="{00000000-0008-0000-0000-000005000000}"/>
            </a:ext>
          </a:extLst>
        </xdr:cNvPr>
        <xdr:cNvSpPr/>
      </xdr:nvSpPr>
      <xdr:spPr>
        <a:xfrm>
          <a:off x="5153025" y="1104899"/>
          <a:ext cx="238125" cy="2000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fr-FR" sz="1100"/>
        </a:p>
      </xdr:txBody>
    </xdr:sp>
    <xdr:clientData/>
  </xdr:twoCellAnchor>
  <xdr:twoCellAnchor>
    <xdr:from>
      <xdr:col>5</xdr:col>
      <xdr:colOff>95250</xdr:colOff>
      <xdr:row>12</xdr:row>
      <xdr:rowOff>19051</xdr:rowOff>
    </xdr:from>
    <xdr:to>
      <xdr:col>5</xdr:col>
      <xdr:colOff>333375</xdr:colOff>
      <xdr:row>12</xdr:row>
      <xdr:rowOff>247651</xdr:rowOff>
    </xdr:to>
    <xdr:sp macro="[0]!Num_Tel" textlink="">
      <xdr:nvSpPr>
        <xdr:cNvPr id="6" name="Rectangle à coins arrondis 5">
          <a:extLst>
            <a:ext uri="{FF2B5EF4-FFF2-40B4-BE49-F238E27FC236}">
              <a16:creationId xmlns="" xmlns:a16="http://schemas.microsoft.com/office/drawing/2014/main" id="{00000000-0008-0000-0000-000006000000}"/>
            </a:ext>
          </a:extLst>
        </xdr:cNvPr>
        <xdr:cNvSpPr/>
      </xdr:nvSpPr>
      <xdr:spPr>
        <a:xfrm>
          <a:off x="5305425" y="1809751"/>
          <a:ext cx="238125" cy="228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fr-FR" sz="1100"/>
        </a:p>
      </xdr:txBody>
    </xdr:sp>
    <xdr:clientData/>
  </xdr:twoCellAnchor>
  <xdr:twoCellAnchor>
    <xdr:from>
      <xdr:col>0</xdr:col>
      <xdr:colOff>9525</xdr:colOff>
      <xdr:row>1</xdr:row>
      <xdr:rowOff>95250</xdr:rowOff>
    </xdr:from>
    <xdr:to>
      <xdr:col>2</xdr:col>
      <xdr:colOff>66674</xdr:colOff>
      <xdr:row>2</xdr:row>
      <xdr:rowOff>123825</xdr:rowOff>
    </xdr:to>
    <xdr:sp macro="[0]!vider" textlink="">
      <xdr:nvSpPr>
        <xdr:cNvPr id="7" name="Rectangle à coins arrondis 4">
          <a:extLst>
            <a:ext uri="{FF2B5EF4-FFF2-40B4-BE49-F238E27FC236}">
              <a16:creationId xmlns="" xmlns:a16="http://schemas.microsoft.com/office/drawing/2014/main" id="{D54F4864-5CB5-42AD-B768-44D23CA77EDF}"/>
            </a:ext>
          </a:extLst>
        </xdr:cNvPr>
        <xdr:cNvSpPr/>
      </xdr:nvSpPr>
      <xdr:spPr>
        <a:xfrm>
          <a:off x="9525" y="200025"/>
          <a:ext cx="228599" cy="219075"/>
        </a:xfrm>
        <a:prstGeom prst="roundRect">
          <a:avLst/>
        </a:prstGeom>
      </xdr:spPr>
      <xdr:style>
        <a:lnRef idx="1">
          <a:schemeClr val="dk1"/>
        </a:lnRef>
        <a:fillRef idx="2">
          <a:schemeClr val="dk1"/>
        </a:fillRef>
        <a:effectRef idx="1">
          <a:schemeClr val="dk1"/>
        </a:effectRef>
        <a:fontRef idx="minor">
          <a:schemeClr val="dk1"/>
        </a:fontRef>
      </xdr:style>
      <xdr:txBody>
        <a:bodyPr rtlCol="0" anchor="ctr"/>
        <a:lstStyle/>
        <a:p>
          <a:pPr algn="ctr"/>
          <a:endParaRPr lang="fr-FR"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168088</xdr:colOff>
      <xdr:row>1</xdr:row>
      <xdr:rowOff>78441</xdr:rowOff>
    </xdr:from>
    <xdr:to>
      <xdr:col>2</xdr:col>
      <xdr:colOff>1008529</xdr:colOff>
      <xdr:row>4</xdr:row>
      <xdr:rowOff>0</xdr:rowOff>
    </xdr:to>
    <xdr:sp macro="[0]!Cons" textlink="">
      <xdr:nvSpPr>
        <xdr:cNvPr id="2" name="Rectangle 1">
          <a:extLst>
            <a:ext uri="{FF2B5EF4-FFF2-40B4-BE49-F238E27FC236}">
              <a16:creationId xmlns="" xmlns:a16="http://schemas.microsoft.com/office/drawing/2014/main" id="{1A04C8EB-76DF-F766-0C82-21CDAD61B3A8}"/>
            </a:ext>
          </a:extLst>
        </xdr:cNvPr>
        <xdr:cNvSpPr/>
      </xdr:nvSpPr>
      <xdr:spPr>
        <a:xfrm>
          <a:off x="1692088" y="268941"/>
          <a:ext cx="840441" cy="493059"/>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Feuil1"/>
  <dimension ref="D1:P142"/>
  <sheetViews>
    <sheetView showGridLines="0" tabSelected="1" workbookViewId="0">
      <selection activeCell="G21" sqref="G21"/>
    </sheetView>
  </sheetViews>
  <sheetFormatPr baseColWidth="10" defaultColWidth="11.375" defaultRowHeight="15.75"/>
  <cols>
    <col min="1" max="3" width="1.125" style="1" customWidth="1"/>
    <col min="4" max="4" width="18.375" style="55" bestFit="1" customWidth="1"/>
    <col min="5" max="5" width="46.625" style="2" bestFit="1" customWidth="1"/>
    <col min="6" max="6" width="13.375" style="2" bestFit="1" customWidth="1"/>
    <col min="7" max="7" width="19.875" style="1" bestFit="1" customWidth="1"/>
    <col min="8" max="8" width="57" style="1" customWidth="1"/>
    <col min="9" max="9" width="14.25" style="1" bestFit="1" customWidth="1"/>
    <col min="10" max="10" width="16.25" style="1" bestFit="1" customWidth="1"/>
    <col min="11" max="16" width="11.375" style="1"/>
    <col min="17" max="17" width="19.875" style="1" bestFit="1" customWidth="1"/>
    <col min="18" max="16384" width="11.375" style="1"/>
  </cols>
  <sheetData>
    <row r="1" spans="4:11" ht="8.25" customHeight="1">
      <c r="D1" s="18"/>
      <c r="E1" s="1"/>
      <c r="F1" s="1"/>
      <c r="G1" s="41">
        <f ca="1">TODAY()</f>
        <v>45727</v>
      </c>
      <c r="H1" s="50">
        <f ca="1">TODAY()</f>
        <v>45727</v>
      </c>
    </row>
    <row r="2" spans="4:11" ht="15">
      <c r="D2" s="18"/>
      <c r="E2" s="1"/>
      <c r="F2" s="1"/>
      <c r="G2" s="6">
        <f ca="1">COUNTIFS(DataBase!B:B,TODAY(),DataBase!I:I,"Appel")</f>
        <v>11</v>
      </c>
    </row>
    <row r="3" spans="4:11" ht="15">
      <c r="D3" s="18"/>
      <c r="E3" s="16" t="str">
        <f>IF(E7&lt;&gt;"",RIGHT(E7, LEN(E7) - FIND(" - ", E7) - 2),"")</f>
        <v/>
      </c>
      <c r="F3" s="49" t="str">
        <f>IF(E7&lt;&gt;"", LEFT(RIGHT(E7, LEN(E7) - FIND("N°", E7) - 1), FIND(" ", RIGHT(E7, LEN(E7) - FIND("N°", E7) - 1) &amp; " ") - 1), "")</f>
        <v/>
      </c>
    </row>
    <row r="4" spans="4:11" ht="6.75" customHeight="1" thickBot="1">
      <c r="D4" s="18"/>
      <c r="E4" s="1"/>
      <c r="F4" s="1"/>
    </row>
    <row r="5" spans="4:11" ht="14.25" hidden="1">
      <c r="D5" s="18"/>
      <c r="E5" s="1"/>
      <c r="F5" s="1"/>
    </row>
    <row r="6" spans="4:11" ht="14.25" hidden="1">
      <c r="D6" s="18"/>
      <c r="E6" s="1"/>
      <c r="F6" s="1"/>
    </row>
    <row r="7" spans="4:11" ht="16.5" thickBot="1">
      <c r="D7" s="66" t="s">
        <v>1</v>
      </c>
      <c r="E7" s="35"/>
      <c r="F7" s="1"/>
      <c r="G7" s="42" t="s">
        <v>205</v>
      </c>
      <c r="H7" s="40" t="s">
        <v>8</v>
      </c>
      <c r="I7" s="40" t="s">
        <v>215</v>
      </c>
      <c r="J7" s="40" t="s">
        <v>0</v>
      </c>
      <c r="K7" s="40" t="s">
        <v>3</v>
      </c>
    </row>
    <row r="8" spans="4:11" thickBot="1">
      <c r="D8" s="67"/>
      <c r="E8" s="17" t="str">
        <f>IFERROR(IF(E7&lt;&gt;"",VLOOKUP(E7,DataBase!F:G,2,0),"-"),"Nouveau")</f>
        <v>-</v>
      </c>
      <c r="F8" s="1"/>
      <c r="H8" s="48" t="str">
        <f t="array" ref="H8">IFERROR(INDEX(DataBase!$M$10:$M$998, MATCH(1, (DataBase!$C$10:$C$998=$F$3) * (DataBase!$J$10:$J$998="Rappel"), 0)),"-")</f>
        <v>-</v>
      </c>
      <c r="I8" s="45" t="str">
        <f t="array" ref="I8">IFERROR(INDEX(DataBase!$J$10:$J$998, MATCH(1, (DataBase!$C$10:$C$998=$F$3) * (DataBase!$J$10:$J$998="Rappel"), 0)),"-")</f>
        <v>-</v>
      </c>
      <c r="J8" s="46" t="str">
        <f t="array" ref="J8">IFERROR(INDEX(DataBase!B10:B998, MATCH(1, (DataBase!C10:C998=$F$3) * (DataBase!J10:J998="Rappel"), 0)),"-")</f>
        <v>-</v>
      </c>
      <c r="K8" s="47" t="str">
        <f t="array" ref="K8">IFERROR(INDEX(DataBase!A10:A998, MATCH(1, (DataBase!C10:C998=$F$3) * (DataBase!J10:J998="Rappel"), 0)),"-")</f>
        <v>-</v>
      </c>
    </row>
    <row r="9" spans="4:11" thickBot="1">
      <c r="D9" s="66" t="s">
        <v>200</v>
      </c>
      <c r="E9" s="37"/>
      <c r="F9" s="1"/>
      <c r="G9" s="42" t="s">
        <v>207</v>
      </c>
      <c r="H9" s="18"/>
    </row>
    <row r="10" spans="4:11" thickBot="1">
      <c r="D10" s="67"/>
      <c r="E10" s="17"/>
      <c r="F10" s="1"/>
      <c r="G10" s="40" t="s">
        <v>0</v>
      </c>
      <c r="H10" s="40" t="s">
        <v>215</v>
      </c>
      <c r="I10" s="40" t="s">
        <v>6</v>
      </c>
      <c r="J10" s="40" t="s">
        <v>7</v>
      </c>
      <c r="K10" s="40" t="s">
        <v>3</v>
      </c>
    </row>
    <row r="11" spans="4:11" ht="16.5" thickBot="1">
      <c r="D11" s="66" t="s">
        <v>32</v>
      </c>
      <c r="E11" s="35"/>
      <c r="F11" s="1"/>
      <c r="G11" s="20">
        <f t="array" ref="G11">IFERROR(INDEX(DataBase!$E$10:$E$1995,SMALL(IF($D$34=DataBase!$C$10:$C$1995,ROW(DataBase!$B$10:$B$1995)-MIN(ROW(DataBase!$B$10))+1,""),ROWS(DataBase!$10:10))),"-")</f>
        <v>0</v>
      </c>
      <c r="H11" s="76">
        <f t="array" ref="H11">IFERROR(INDEX(DataBase!$M$10:$M$1995,SMALL(IF($D$34=DataBase!$C$10:$C$1995,ROW(DataBase!$B$10:$B$1995)-MIN(ROW(DataBase!$B$10))+1,""),ROWS(DataBase!$10:10))),"")</f>
        <v>0</v>
      </c>
      <c r="I11" s="20">
        <f t="array" ref="I11">IFERROR(INDEX(DataBase!$H$10:$H$1995,SMALL(IF($D$34=DataBase!$C$10:$C$1995,ROW(DataBase!$B$10:$B$1995)-MIN(ROW(DataBase!$B$10))+1,""),ROWS(DataBase!$10:10))),"")</f>
        <v>0</v>
      </c>
      <c r="J11" s="20">
        <f t="array" ref="J11">IFERROR(INDEX(DataBase!$I$10:$I$1995,SMALL(IF($D$34=DataBase!$C$10:$C$1995,ROW(DataBase!$B$10:$B$1995)-MIN(ROW(DataBase!$B$10))+1,""),ROWS(DataBase!$10:10))),"")</f>
        <v>0</v>
      </c>
      <c r="K11" s="43" t="str">
        <f t="array" ref="K11">IFERROR(INDEX(DataBase!$A$10:$A$1995,SMALL(IF($D$34=DataBase!$C$10:$C$1995,ROW(DataBase!$B$10:$B$1995)-MIN(ROW(DataBase!$B$10))+1,""),ROWS(DataBase!$10:10))),"")</f>
        <v>-</v>
      </c>
    </row>
    <row r="12" spans="4:11" thickBot="1">
      <c r="D12" s="67"/>
      <c r="E12" s="17"/>
      <c r="F12" s="1"/>
      <c r="G12" s="20">
        <f t="array" ref="G12">IFERROR(INDEX(DataBase!$E$10:$E$1995,SMALL(IF($D$34=DataBase!$C$10:$C$1995,ROW(DataBase!$B$10:$B$1995)-MIN(ROW(DataBase!$B$10))+1,""),ROWS(DataBase!$10:11))),"")</f>
        <v>0</v>
      </c>
      <c r="H12" s="101">
        <f t="array" ref="H12">IFERROR(INDEX(DataBase!$M$10:$M$1995,SMALL(IF($D$34=DataBase!$C$10:$C$1995,ROW(DataBase!$B$10:$B$1995)-MIN(ROW(DataBase!$B$10))+1,""),ROWS(DataBase!$10:11))),"")</f>
        <v>0</v>
      </c>
      <c r="I12" s="20">
        <f t="array" ref="I12">IFERROR(INDEX(DataBase!$H$10:$H$1995,SMALL(IF($D$34=DataBase!$C$10:$C$1995,ROW(DataBase!$B$10:$B$1995)-MIN(ROW(DataBase!$B$10))+1,""),ROWS(DataBase!$10:11))),"")</f>
        <v>0</v>
      </c>
      <c r="J12" s="20">
        <f t="array" ref="J12">IFERROR(INDEX(DataBase!$I$10:$I$1995,SMALL(IF($D$34=DataBase!$C$10:$C$1995,ROW(DataBase!$B$10:$B$1995)-MIN(ROW(DataBase!$B$10))+1,""),ROWS(DataBase!$10:11))),"")</f>
        <v>0</v>
      </c>
      <c r="K12" s="44" t="str">
        <f t="array" ref="K12">IFERROR(INDEX(DataBase!$A$10:$A$1995,SMALL(IF($D$34=DataBase!$C$10:$C$1995,ROW(DataBase!$B$10:$B$1995)-MIN(ROW(DataBase!$B$10))+1,""),ROWS(DataBase!$10:11))),"")</f>
        <v>-</v>
      </c>
    </row>
    <row r="13" spans="4:11" ht="22.5" customHeight="1" thickBot="1">
      <c r="D13" s="66" t="s">
        <v>7</v>
      </c>
      <c r="E13" s="36"/>
      <c r="F13" s="1"/>
      <c r="G13" s="20">
        <f t="array" ref="G13">IFERROR(INDEX(DataBase!$E$10:$E$1995,SMALL(IF($D$34=DataBase!$C$10:$C$1995,ROW(DataBase!$B$10:$B$1995)-MIN(ROW(DataBase!$B$10))+1,""),ROWS(DataBase!$10:12))),"")</f>
        <v>0</v>
      </c>
      <c r="H13" s="76">
        <f t="array" ref="H13">IFERROR(INDEX(DataBase!$M$10:$M$1995,SMALL(IF($D$34=DataBase!$C$10:$C$1995,ROW(DataBase!$B$10:$B$1995)-MIN(ROW(DataBase!$B$10))+1,""),ROWS(DataBase!$10:12))),"")</f>
        <v>0</v>
      </c>
      <c r="I13" s="20">
        <f t="array" ref="I13">IFERROR(INDEX(DataBase!$H$10:$H$1995,SMALL(IF($D$34=DataBase!$C$10:$C$1995,ROW(DataBase!$B$10:$B$1995)-MIN(ROW(DataBase!$B$10))+1,""),ROWS(DataBase!$10:12))),"")</f>
        <v>0</v>
      </c>
      <c r="J13" s="20">
        <f t="array" ref="J13">IFERROR(INDEX(DataBase!$I$10:$I$1995,SMALL(IF($D$34=DataBase!$C$10:$C$1995,ROW(DataBase!$B$10:$B$1995)-MIN(ROW(DataBase!$B$10))+1,""),ROWS(DataBase!$10:12))),"")</f>
        <v>0</v>
      </c>
      <c r="K13" s="43" t="str">
        <f t="array" ref="K13">IFERROR(INDEX(DataBase!$A$10:$A$1995,SMALL(IF($D$34=DataBase!$C$10:$C$1995,ROW(DataBase!$B$10:$B$1995)-MIN(ROW(DataBase!$B$10))+1,""),ROWS(DataBase!$10:12))),"")</f>
        <v>-</v>
      </c>
    </row>
    <row r="14" spans="4:11" thickBot="1">
      <c r="D14" s="67"/>
      <c r="E14" s="17"/>
      <c r="F14" s="1"/>
      <c r="G14" s="20">
        <f t="array" ref="G14">IFERROR(INDEX(DataBase!$E$10:$E$1995,SMALL(IF($D$34=DataBase!$C$10:$C$1995,ROW(DataBase!$B$10:$B$1995)-MIN(ROW(DataBase!$B$10))+1,""),ROWS(DataBase!$10:13))),"")</f>
        <v>0</v>
      </c>
      <c r="H14" s="101">
        <f t="array" ref="H14">IFERROR(INDEX(DataBase!$M$10:$M$1995,SMALL(IF($D$34=DataBase!$C$10:$C$1995,ROW(DataBase!$B$10:$B$1995)-MIN(ROW(DataBase!$B$10))+1,""),ROWS(DataBase!$10:13))),"")</f>
        <v>0</v>
      </c>
      <c r="I14" s="20">
        <f t="array" ref="I14">IFERROR(INDEX(DataBase!$H$10:$H$1995,SMALL(IF($D$34=DataBase!$C$10:$C$1995,ROW(DataBase!$B$10:$B$1995)-MIN(ROW(DataBase!$B$10))+1,""),ROWS(DataBase!$10:13))),"")</f>
        <v>0</v>
      </c>
      <c r="J14" s="20">
        <f t="array" ref="J14">IFERROR(INDEX(DataBase!$I$10:$I$1995,SMALL(IF($D$34=DataBase!$C$10:$C$1995,ROW(DataBase!$B$10:$B$1995)-MIN(ROW(DataBase!$B$10))+1,""),ROWS(DataBase!$10:13))),"")</f>
        <v>0</v>
      </c>
      <c r="K14" s="25" t="str">
        <f t="array" ref="K14">IFERROR(INDEX(DataBase!$A$10:$A$1995,SMALL(IF($D$34=DataBase!$C$10:$C$1995,ROW(DataBase!$B$10:$B$1995)-MIN(ROW(DataBase!$B$10))+1,""),ROWS(DataBase!$10:13))),"")</f>
        <v>-</v>
      </c>
    </row>
    <row r="15" spans="4:11" ht="16.5" thickBot="1">
      <c r="D15" s="66" t="s">
        <v>33</v>
      </c>
      <c r="E15" s="35"/>
      <c r="F15" s="84">
        <v>7</v>
      </c>
      <c r="G15" s="20">
        <f t="array" ref="G15">IFERROR(INDEX(DataBase!$E$10:$E$1995,SMALL(IF($D$34=DataBase!$C$10:$C$1995,ROW(DataBase!$B$10:$B$1995)-MIN(ROW(DataBase!$B$10))+1,""),ROWS(DataBase!$10:14))),"")</f>
        <v>0</v>
      </c>
      <c r="H15" s="76">
        <f t="array" ref="H15">IFERROR(INDEX(DataBase!$M$10:$M$1995,SMALL(IF($D$34=DataBase!$C$10:$C$1995,ROW(DataBase!$B$10:$B$1995)-MIN(ROW(DataBase!$B$10))+1,""),ROWS(DataBase!$10:14))),"")</f>
        <v>0</v>
      </c>
      <c r="I15" s="20">
        <f t="array" ref="I15">IFERROR(INDEX(DataBase!$H$10:$H$1995,SMALL(IF($D$34=DataBase!$C$10:$C$1995,ROW(DataBase!$B$10:$B$1995)-MIN(ROW(DataBase!$B$10))+1,""),ROWS(DataBase!$10:14))),"")</f>
        <v>0</v>
      </c>
      <c r="J15" s="20">
        <f t="array" ref="J15">IFERROR(INDEX(DataBase!$I$10:$I$1995,SMALL(IF($D$34=DataBase!$C$10:$C$1995,ROW(DataBase!$B$10:$B$1995)-MIN(ROW(DataBase!$B$10))+1,""),ROWS(DataBase!$10:14))),"")</f>
        <v>0</v>
      </c>
      <c r="K15" s="19" t="str">
        <f t="array" ref="K15">IFERROR(INDEX(DataBase!$A$10:$A$1995,SMALL(IF($D$34=DataBase!$C$10:$C$1995,ROW(DataBase!$B$10:$B$1995)-MIN(ROW(DataBase!$B$10))+1,""),ROWS(DataBase!$10:14))),"")</f>
        <v>-</v>
      </c>
    </row>
    <row r="16" spans="4:11" ht="7.5" customHeight="1" thickBot="1">
      <c r="D16" s="68"/>
      <c r="E16" s="17"/>
      <c r="G16" s="21"/>
    </row>
    <row r="17" spans="4:12">
      <c r="D17" s="69" t="str">
        <f>IF(E15="Rappel","Date Rappel","")</f>
        <v/>
      </c>
      <c r="E17" s="99"/>
      <c r="G17" s="21"/>
    </row>
    <row r="18" spans="4:12" thickBot="1">
      <c r="D18" s="70" t="str">
        <f>IF(E15="Rappel","Créneau","")</f>
        <v/>
      </c>
      <c r="E18" s="34"/>
      <c r="F18" s="1"/>
      <c r="G18" s="21"/>
    </row>
    <row r="19" spans="4:12" ht="7.5" customHeight="1" thickBot="1">
      <c r="D19" s="67"/>
      <c r="E19" s="17"/>
      <c r="F19" s="1"/>
      <c r="G19" s="21"/>
    </row>
    <row r="20" spans="4:12" ht="73.5" customHeight="1" thickBot="1">
      <c r="D20" s="66" t="s">
        <v>34</v>
      </c>
      <c r="E20" s="74"/>
      <c r="F20" s="1"/>
      <c r="G20" s="21"/>
    </row>
    <row r="21" spans="4:12" ht="15" thickBot="1">
      <c r="D21" s="18"/>
      <c r="E21" s="18"/>
      <c r="F21" s="1"/>
      <c r="G21" s="75"/>
    </row>
    <row r="22" spans="4:12" ht="14.25">
      <c r="D22" s="18"/>
      <c r="E22" s="22"/>
      <c r="F22" s="1"/>
    </row>
    <row r="23" spans="4:12" ht="14.25">
      <c r="D23" s="18"/>
      <c r="E23" s="23"/>
      <c r="F23" s="1"/>
    </row>
    <row r="24" spans="4:12" ht="15" thickBot="1">
      <c r="D24" s="18"/>
      <c r="E24" s="24"/>
      <c r="F24" s="1"/>
    </row>
    <row r="25" spans="4:12" ht="14.25">
      <c r="D25" s="18"/>
      <c r="E25" s="18"/>
      <c r="F25" s="1"/>
    </row>
    <row r="26" spans="4:12" ht="14.25">
      <c r="D26" s="18"/>
      <c r="E26" s="18"/>
      <c r="F26" s="1"/>
    </row>
    <row r="27" spans="4:12" ht="14.25" hidden="1">
      <c r="D27" s="18"/>
      <c r="E27" s="18"/>
      <c r="F27" s="1"/>
    </row>
    <row r="28" spans="4:12" ht="14.25" hidden="1">
      <c r="D28" s="18"/>
      <c r="E28" s="18"/>
      <c r="F28" s="1"/>
    </row>
    <row r="29" spans="4:12" ht="14.25" hidden="1">
      <c r="D29" s="18"/>
      <c r="E29" s="18"/>
      <c r="F29" s="1"/>
    </row>
    <row r="30" spans="4:12" hidden="1">
      <c r="D30" s="55" t="s">
        <v>0</v>
      </c>
      <c r="E30" s="38" t="s">
        <v>1</v>
      </c>
      <c r="F30" s="38" t="s">
        <v>200</v>
      </c>
      <c r="G30" s="38" t="s">
        <v>32</v>
      </c>
      <c r="H30" s="38" t="s">
        <v>7</v>
      </c>
      <c r="I30" s="38" t="s">
        <v>33</v>
      </c>
      <c r="J30" s="1" t="s">
        <v>216</v>
      </c>
      <c r="K30" s="31" t="s">
        <v>217</v>
      </c>
      <c r="L30" s="38" t="s">
        <v>34</v>
      </c>
    </row>
    <row r="31" spans="4:12" ht="14.25" hidden="1">
      <c r="D31" s="71">
        <f ca="1">NOW()</f>
        <v>45727.682089236114</v>
      </c>
      <c r="E31" s="18">
        <f>E7</f>
        <v>0</v>
      </c>
      <c r="F31" s="1">
        <f>E9</f>
        <v>0</v>
      </c>
      <c r="G31" s="1">
        <f>E11</f>
        <v>0</v>
      </c>
      <c r="H31" s="28">
        <f>E13</f>
        <v>0</v>
      </c>
      <c r="I31" s="1">
        <f>E15</f>
        <v>0</v>
      </c>
      <c r="J31" s="29">
        <f>E17</f>
        <v>0</v>
      </c>
      <c r="K31" s="30">
        <f>E18</f>
        <v>0</v>
      </c>
      <c r="L31" s="1">
        <f>E20</f>
        <v>0</v>
      </c>
    </row>
    <row r="32" spans="4:12" ht="14.25" hidden="1">
      <c r="D32" s="18"/>
      <c r="E32" s="18"/>
      <c r="F32" s="1"/>
    </row>
    <row r="33" spans="4:6" ht="14.25" hidden="1">
      <c r="D33" s="18"/>
      <c r="E33" s="18"/>
      <c r="F33" s="1"/>
    </row>
    <row r="34" spans="4:6" ht="14.25">
      <c r="D34" s="72" t="str">
        <f>IF(F3&lt;&gt;"",F3,"-")</f>
        <v>-</v>
      </c>
      <c r="E34" s="18"/>
      <c r="F34" s="1"/>
    </row>
    <row r="37" spans="4:6" s="6" customFormat="1" ht="46.5" customHeight="1">
      <c r="D37" s="73"/>
    </row>
    <row r="38" spans="4:6" s="6" customFormat="1" ht="46.5" customHeight="1">
      <c r="D38" s="73"/>
    </row>
    <row r="39" spans="4:6" s="6" customFormat="1" ht="46.5" customHeight="1">
      <c r="D39" s="73"/>
    </row>
    <row r="40" spans="4:6" s="6" customFormat="1" ht="46.5" customHeight="1">
      <c r="D40" s="73"/>
    </row>
    <row r="41" spans="4:6" s="6" customFormat="1" ht="46.5" customHeight="1">
      <c r="D41" s="73"/>
    </row>
    <row r="42" spans="4:6" ht="14.25">
      <c r="D42" s="18"/>
      <c r="E42" s="1"/>
      <c r="F42" s="1"/>
    </row>
    <row r="43" spans="4:6" ht="14.25">
      <c r="D43" s="18"/>
      <c r="E43" s="1"/>
      <c r="F43" s="1"/>
    </row>
    <row r="44" spans="4:6" ht="14.25">
      <c r="D44" s="18"/>
      <c r="E44" s="1"/>
      <c r="F44" s="1"/>
    </row>
    <row r="45" spans="4:6" ht="14.25">
      <c r="D45" s="18"/>
      <c r="E45" s="1"/>
      <c r="F45" s="1"/>
    </row>
    <row r="46" spans="4:6" ht="14.25">
      <c r="D46" s="18"/>
      <c r="E46" s="1"/>
      <c r="F46" s="1"/>
    </row>
    <row r="47" spans="4:6" ht="14.25">
      <c r="D47" s="18"/>
      <c r="E47" s="1"/>
      <c r="F47" s="1"/>
    </row>
    <row r="48" spans="4:6" ht="14.25">
      <c r="D48" s="18"/>
      <c r="E48" s="1"/>
      <c r="F48" s="1"/>
    </row>
    <row r="49" spans="4:4" s="1" customFormat="1" ht="14.25">
      <c r="D49" s="18"/>
    </row>
    <row r="50" spans="4:4" s="1" customFormat="1" ht="14.25">
      <c r="D50" s="18"/>
    </row>
    <row r="51" spans="4:4" s="1" customFormat="1" ht="14.25">
      <c r="D51" s="18"/>
    </row>
    <row r="52" spans="4:4" s="1" customFormat="1" ht="14.25">
      <c r="D52" s="18"/>
    </row>
    <row r="53" spans="4:4" s="1" customFormat="1" ht="14.25">
      <c r="D53" s="18"/>
    </row>
    <row r="54" spans="4:4" s="1" customFormat="1" ht="14.25">
      <c r="D54" s="18"/>
    </row>
    <row r="55" spans="4:4" s="1" customFormat="1" ht="14.25">
      <c r="D55" s="18"/>
    </row>
    <row r="56" spans="4:4" s="1" customFormat="1" ht="14.25">
      <c r="D56" s="18"/>
    </row>
    <row r="57" spans="4:4" s="1" customFormat="1" ht="14.25">
      <c r="D57" s="18"/>
    </row>
    <row r="58" spans="4:4" s="1" customFormat="1" ht="14.25">
      <c r="D58" s="18"/>
    </row>
    <row r="59" spans="4:4" s="1" customFormat="1" ht="14.25">
      <c r="D59" s="18"/>
    </row>
    <row r="60" spans="4:4" s="1" customFormat="1" ht="14.25">
      <c r="D60" s="18"/>
    </row>
    <row r="61" spans="4:4" s="1" customFormat="1" ht="14.25">
      <c r="D61" s="18"/>
    </row>
    <row r="62" spans="4:4" s="1" customFormat="1" ht="14.25">
      <c r="D62" s="18"/>
    </row>
    <row r="63" spans="4:4" s="1" customFormat="1" ht="14.25">
      <c r="D63" s="18"/>
    </row>
    <row r="64" spans="4:4" s="1" customFormat="1" ht="14.25">
      <c r="D64" s="18"/>
    </row>
    <row r="65" spans="4:4" s="1" customFormat="1" ht="14.25">
      <c r="D65" s="18"/>
    </row>
    <row r="66" spans="4:4" s="1" customFormat="1" ht="14.25">
      <c r="D66" s="18"/>
    </row>
    <row r="67" spans="4:4" s="1" customFormat="1" ht="14.25">
      <c r="D67" s="18"/>
    </row>
    <row r="68" spans="4:4" s="1" customFormat="1" ht="14.25">
      <c r="D68" s="18"/>
    </row>
    <row r="69" spans="4:4" s="1" customFormat="1" ht="14.25">
      <c r="D69" s="18"/>
    </row>
    <row r="70" spans="4:4" s="1" customFormat="1" ht="14.25">
      <c r="D70" s="18"/>
    </row>
    <row r="71" spans="4:4" s="1" customFormat="1" ht="14.25">
      <c r="D71" s="18"/>
    </row>
    <row r="72" spans="4:4" s="1" customFormat="1" ht="14.25">
      <c r="D72" s="18"/>
    </row>
    <row r="73" spans="4:4" s="1" customFormat="1" ht="14.25">
      <c r="D73" s="18"/>
    </row>
    <row r="74" spans="4:4" s="1" customFormat="1" ht="14.25">
      <c r="D74" s="18"/>
    </row>
    <row r="75" spans="4:4" s="1" customFormat="1" ht="14.25">
      <c r="D75" s="18"/>
    </row>
    <row r="76" spans="4:4" s="1" customFormat="1" ht="14.25">
      <c r="D76" s="18"/>
    </row>
    <row r="77" spans="4:4" s="1" customFormat="1" ht="14.25">
      <c r="D77" s="18"/>
    </row>
    <row r="78" spans="4:4" s="1" customFormat="1" ht="14.25">
      <c r="D78" s="18"/>
    </row>
    <row r="79" spans="4:4" s="1" customFormat="1" ht="14.25">
      <c r="D79" s="18"/>
    </row>
    <row r="80" spans="4:4" s="1" customFormat="1" ht="14.25">
      <c r="D80" s="18"/>
    </row>
    <row r="81" spans="4:4" s="1" customFormat="1" ht="14.25">
      <c r="D81" s="18"/>
    </row>
    <row r="82" spans="4:4" s="1" customFormat="1" ht="14.25">
      <c r="D82" s="18"/>
    </row>
    <row r="83" spans="4:4" s="1" customFormat="1" ht="14.25">
      <c r="D83" s="18"/>
    </row>
    <row r="84" spans="4:4" s="1" customFormat="1" ht="14.25">
      <c r="D84" s="18"/>
    </row>
    <row r="85" spans="4:4" s="1" customFormat="1" ht="14.25">
      <c r="D85" s="18"/>
    </row>
    <row r="86" spans="4:4" s="1" customFormat="1" ht="14.25">
      <c r="D86" s="18"/>
    </row>
    <row r="87" spans="4:4" s="1" customFormat="1" ht="14.25">
      <c r="D87" s="18"/>
    </row>
    <row r="88" spans="4:4" s="1" customFormat="1" ht="14.25">
      <c r="D88" s="18"/>
    </row>
    <row r="89" spans="4:4" s="1" customFormat="1" ht="14.25">
      <c r="D89" s="18"/>
    </row>
    <row r="90" spans="4:4" s="1" customFormat="1" ht="14.25">
      <c r="D90" s="18"/>
    </row>
    <row r="91" spans="4:4" s="1" customFormat="1" ht="14.25">
      <c r="D91" s="18"/>
    </row>
    <row r="92" spans="4:4" s="1" customFormat="1" ht="14.25">
      <c r="D92" s="18"/>
    </row>
    <row r="93" spans="4:4" s="1" customFormat="1" ht="14.25">
      <c r="D93" s="18"/>
    </row>
    <row r="94" spans="4:4" s="1" customFormat="1" ht="14.25">
      <c r="D94" s="18"/>
    </row>
    <row r="95" spans="4:4" s="1" customFormat="1" ht="14.25">
      <c r="D95" s="18"/>
    </row>
    <row r="96" spans="4:4" s="1" customFormat="1" ht="14.25">
      <c r="D96" s="18"/>
    </row>
    <row r="97" spans="4:6" ht="14.25">
      <c r="D97" s="18"/>
      <c r="E97" s="1"/>
      <c r="F97" s="1"/>
    </row>
    <row r="98" spans="4:6" ht="14.25">
      <c r="D98" s="18"/>
      <c r="E98" s="1"/>
      <c r="F98" s="1"/>
    </row>
    <row r="99" spans="4:6" ht="14.25">
      <c r="D99" s="18"/>
      <c r="E99" s="1"/>
      <c r="F99" s="1"/>
    </row>
    <row r="100" spans="4:6" ht="14.25">
      <c r="D100" s="18"/>
      <c r="E100" s="1"/>
      <c r="F100" s="1"/>
    </row>
    <row r="101" spans="4:6" ht="14.25">
      <c r="D101" s="18"/>
      <c r="E101" s="1"/>
      <c r="F101" s="1"/>
    </row>
    <row r="102" spans="4:6" ht="14.25">
      <c r="D102" s="18"/>
      <c r="E102" s="1"/>
      <c r="F102" s="1"/>
    </row>
    <row r="135" spans="10:16">
      <c r="J135" s="5"/>
      <c r="K135" s="5"/>
      <c r="L135" s="5"/>
      <c r="M135" s="5"/>
      <c r="N135" s="5"/>
      <c r="O135" s="5"/>
      <c r="P135" s="5"/>
    </row>
    <row r="136" spans="10:16">
      <c r="J136" s="5"/>
      <c r="K136" s="5"/>
      <c r="L136" s="5"/>
      <c r="M136" s="5"/>
      <c r="N136" s="5"/>
      <c r="O136" s="5"/>
      <c r="P136" s="5"/>
    </row>
    <row r="137" spans="10:16">
      <c r="J137" s="5"/>
      <c r="K137" s="5"/>
      <c r="L137" s="5"/>
      <c r="M137" s="5"/>
      <c r="N137" s="5"/>
      <c r="O137" s="5"/>
      <c r="P137" s="5"/>
    </row>
    <row r="138" spans="10:16">
      <c r="J138" s="5"/>
      <c r="K138" s="5"/>
      <c r="L138" s="5"/>
      <c r="M138" s="5"/>
      <c r="N138" s="5"/>
      <c r="O138" s="5"/>
      <c r="P138" s="5"/>
    </row>
    <row r="139" spans="10:16">
      <c r="J139" s="5"/>
      <c r="K139" s="5"/>
      <c r="L139" s="5"/>
      <c r="M139" s="5"/>
      <c r="N139" s="5"/>
      <c r="O139" s="5"/>
      <c r="P139" s="5"/>
    </row>
    <row r="140" spans="10:16">
      <c r="J140" s="5"/>
      <c r="K140" s="5"/>
      <c r="L140" s="5"/>
      <c r="M140" s="5"/>
      <c r="N140" s="5"/>
      <c r="O140" s="5"/>
      <c r="P140" s="5"/>
    </row>
    <row r="141" spans="10:16">
      <c r="J141" s="5"/>
      <c r="K141" s="5"/>
      <c r="L141" s="5"/>
      <c r="M141" s="5"/>
      <c r="N141" s="5"/>
      <c r="O141" s="5"/>
      <c r="P141" s="5"/>
    </row>
    <row r="142" spans="10:16">
      <c r="J142" s="5"/>
      <c r="K142" s="5"/>
      <c r="L142" s="5"/>
      <c r="M142" s="5"/>
      <c r="N142" s="5"/>
      <c r="O142" s="5"/>
      <c r="P142" s="5"/>
    </row>
  </sheetData>
  <conditionalFormatting sqref="G11">
    <cfRule type="cellIs" dxfId="41" priority="38" operator="equal">
      <formula>0</formula>
    </cfRule>
    <cfRule type="cellIs" dxfId="40" priority="37" operator="equal">
      <formula>0</formula>
    </cfRule>
  </conditionalFormatting>
  <conditionalFormatting sqref="G13">
    <cfRule type="cellIs" dxfId="39" priority="35" operator="equal">
      <formula>0</formula>
    </cfRule>
    <cfRule type="cellIs" dxfId="38" priority="36" operator="equal">
      <formula>0</formula>
    </cfRule>
  </conditionalFormatting>
  <conditionalFormatting sqref="G15">
    <cfRule type="cellIs" dxfId="37" priority="33" operator="equal">
      <formula>0</formula>
    </cfRule>
    <cfRule type="cellIs" dxfId="36" priority="34" operator="equal">
      <formula>0</formula>
    </cfRule>
  </conditionalFormatting>
  <conditionalFormatting sqref="G12">
    <cfRule type="cellIs" dxfId="35" priority="31" operator="equal">
      <formula>0</formula>
    </cfRule>
    <cfRule type="cellIs" dxfId="34" priority="32" operator="equal">
      <formula>0</formula>
    </cfRule>
  </conditionalFormatting>
  <conditionalFormatting sqref="G14">
    <cfRule type="cellIs" dxfId="33" priority="29" operator="equal">
      <formula>0</formula>
    </cfRule>
    <cfRule type="cellIs" dxfId="32" priority="30" operator="equal">
      <formula>0</formula>
    </cfRule>
  </conditionalFormatting>
  <conditionalFormatting sqref="G13">
    <cfRule type="cellIs" dxfId="31" priority="27" operator="equal">
      <formula>0</formula>
    </cfRule>
    <cfRule type="cellIs" dxfId="30" priority="28" operator="equal">
      <formula>0</formula>
    </cfRule>
  </conditionalFormatting>
  <conditionalFormatting sqref="G15">
    <cfRule type="cellIs" dxfId="29" priority="25" operator="equal">
      <formula>0</formula>
    </cfRule>
    <cfRule type="cellIs" dxfId="28" priority="26" operator="equal">
      <formula>0</formula>
    </cfRule>
  </conditionalFormatting>
  <conditionalFormatting sqref="H11">
    <cfRule type="cellIs" dxfId="27" priority="23" operator="equal">
      <formula>0</formula>
    </cfRule>
    <cfRule type="cellIs" dxfId="26" priority="24" operator="equal">
      <formula>0</formula>
    </cfRule>
  </conditionalFormatting>
  <conditionalFormatting sqref="I11:J11">
    <cfRule type="cellIs" dxfId="25" priority="21" operator="equal">
      <formula>0</formula>
    </cfRule>
    <cfRule type="cellIs" dxfId="24" priority="22" operator="equal">
      <formula>0</formula>
    </cfRule>
  </conditionalFormatting>
  <conditionalFormatting sqref="H13:J13">
    <cfRule type="cellIs" dxfId="23" priority="19" operator="equal">
      <formula>0</formula>
    </cfRule>
    <cfRule type="cellIs" dxfId="22" priority="20" operator="equal">
      <formula>0</formula>
    </cfRule>
  </conditionalFormatting>
  <conditionalFormatting sqref="H15:J15">
    <cfRule type="cellIs" dxfId="21" priority="17" operator="equal">
      <formula>0</formula>
    </cfRule>
    <cfRule type="cellIs" dxfId="20" priority="18" operator="equal">
      <formula>0</formula>
    </cfRule>
  </conditionalFormatting>
  <conditionalFormatting sqref="H12:J12">
    <cfRule type="cellIs" dxfId="19" priority="15" operator="equal">
      <formula>0</formula>
    </cfRule>
    <cfRule type="cellIs" dxfId="18" priority="16" operator="equal">
      <formula>0</formula>
    </cfRule>
  </conditionalFormatting>
  <conditionalFormatting sqref="H14:J14">
    <cfRule type="cellIs" dxfId="17" priority="13" operator="equal">
      <formula>0</formula>
    </cfRule>
    <cfRule type="cellIs" dxfId="16" priority="14" operator="equal">
      <formula>0</formula>
    </cfRule>
  </conditionalFormatting>
  <conditionalFormatting sqref="H13:J13">
    <cfRule type="cellIs" dxfId="15" priority="11" operator="equal">
      <formula>0</formula>
    </cfRule>
    <cfRule type="cellIs" dxfId="14" priority="12" operator="equal">
      <formula>0</formula>
    </cfRule>
  </conditionalFormatting>
  <conditionalFormatting sqref="H15:J15">
    <cfRule type="cellIs" dxfId="13" priority="9" operator="equal">
      <formula>0</formula>
    </cfRule>
    <cfRule type="cellIs" dxfId="12" priority="10" operator="equal">
      <formula>0</formula>
    </cfRule>
  </conditionalFormatting>
  <conditionalFormatting sqref="H12:H15">
    <cfRule type="cellIs" dxfId="11" priority="7" operator="equal">
      <formula>0</formula>
    </cfRule>
    <cfRule type="cellIs" dxfId="10" priority="8" operator="equal">
      <formula>0</formula>
    </cfRule>
  </conditionalFormatting>
  <conditionalFormatting sqref="H14">
    <cfRule type="cellIs" dxfId="9" priority="5" operator="equal">
      <formula>0</formula>
    </cfRule>
    <cfRule type="cellIs" dxfId="8" priority="6" operator="equal">
      <formula>0</formula>
    </cfRule>
  </conditionalFormatting>
  <conditionalFormatting sqref="H12">
    <cfRule type="cellIs" dxfId="7" priority="3" operator="equal">
      <formula>0</formula>
    </cfRule>
    <cfRule type="cellIs" dxfId="6" priority="4" operator="equal">
      <formula>0</formula>
    </cfRule>
  </conditionalFormatting>
  <conditionalFormatting sqref="H12">
    <cfRule type="cellIs" dxfId="5" priority="1" operator="equal">
      <formula>0</formula>
    </cfRule>
    <cfRule type="cellIs" dxfId="4" priority="2" operator="equal">
      <formula>0</formula>
    </cfRule>
  </conditionalFormatting>
  <dataValidations count="5">
    <dataValidation type="list" allowBlank="1" showInputMessage="1" showErrorMessage="1" sqref="E18">
      <formula1>Legend!G1:G18</formula1>
    </dataValidation>
    <dataValidation type="list" allowBlank="1" showInputMessage="1" showErrorMessage="1" sqref="E15">
      <formula1>Legend!I1:I6</formula1>
    </dataValidation>
    <dataValidation type="list" allowBlank="1" showInputMessage="1" showErrorMessage="1" sqref="E13">
      <formula1>Legend!K2:K4</formula1>
    </dataValidation>
    <dataValidation type="list" allowBlank="1" showInputMessage="1" showErrorMessage="1" sqref="E11">
      <formula1>Legend!L1:L4</formula1>
    </dataValidation>
    <dataValidation type="list" allowBlank="1" showInputMessage="1" showErrorMessage="1" sqref="E9">
      <formula1>Legend!J1:J8</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sheetPr codeName="Feuil2"/>
  <dimension ref="B1:N18"/>
  <sheetViews>
    <sheetView zoomScale="85" zoomScaleNormal="85" workbookViewId="0">
      <pane ySplit="2" topLeftCell="A3" activePane="bottomLeft" state="frozen"/>
      <selection activeCell="B1" sqref="B1"/>
      <selection pane="bottomLeft" activeCell="B2" sqref="B2"/>
    </sheetView>
  </sheetViews>
  <sheetFormatPr baseColWidth="10" defaultRowHeight="14.25"/>
  <cols>
    <col min="3" max="3" width="44.375" style="7" customWidth="1"/>
    <col min="4" max="4" width="22.375" bestFit="1" customWidth="1"/>
    <col min="5" max="5" width="51.375" customWidth="1"/>
    <col min="12" max="12" width="12.125" bestFit="1" customWidth="1"/>
  </cols>
  <sheetData>
    <row r="1" spans="2:14" ht="15.75" thickBot="1">
      <c r="G1" s="33">
        <v>0.375</v>
      </c>
      <c r="I1" s="4" t="s">
        <v>215</v>
      </c>
      <c r="J1" s="4" t="s">
        <v>213</v>
      </c>
      <c r="K1" s="4" t="s">
        <v>7</v>
      </c>
      <c r="L1" s="4" t="s">
        <v>6</v>
      </c>
      <c r="N1">
        <v>0</v>
      </c>
    </row>
    <row r="2" spans="2:14" ht="238.5" customHeight="1" thickBot="1">
      <c r="B2" s="9" t="s">
        <v>37</v>
      </c>
      <c r="C2" s="12" t="s">
        <v>35</v>
      </c>
      <c r="E2" s="12" t="s">
        <v>88</v>
      </c>
      <c r="G2" s="33">
        <v>0.39583333333333331</v>
      </c>
      <c r="I2" t="s">
        <v>11</v>
      </c>
      <c r="J2" t="s">
        <v>181</v>
      </c>
      <c r="K2" t="s">
        <v>13</v>
      </c>
      <c r="L2" t="s">
        <v>191</v>
      </c>
      <c r="N2">
        <v>1</v>
      </c>
    </row>
    <row r="3" spans="2:14">
      <c r="G3" s="33">
        <v>0.41666666666666702</v>
      </c>
      <c r="I3" t="s">
        <v>14</v>
      </c>
      <c r="J3" t="s">
        <v>202</v>
      </c>
      <c r="K3" t="s">
        <v>178</v>
      </c>
      <c r="L3" t="s">
        <v>192</v>
      </c>
      <c r="N3">
        <v>2</v>
      </c>
    </row>
    <row r="4" spans="2:14">
      <c r="G4" s="33">
        <v>0.4375</v>
      </c>
      <c r="I4" t="s">
        <v>28</v>
      </c>
      <c r="J4" t="s">
        <v>182</v>
      </c>
      <c r="L4" t="s">
        <v>195</v>
      </c>
      <c r="N4">
        <v>3</v>
      </c>
    </row>
    <row r="5" spans="2:14">
      <c r="G5" s="33">
        <v>0.45833333333333298</v>
      </c>
      <c r="I5" t="s">
        <v>20</v>
      </c>
      <c r="J5" t="s">
        <v>175</v>
      </c>
      <c r="N5">
        <v>4</v>
      </c>
    </row>
    <row r="6" spans="2:14">
      <c r="G6" s="33">
        <v>0.47916666666666702</v>
      </c>
      <c r="I6" t="s">
        <v>193</v>
      </c>
      <c r="J6" t="s">
        <v>201</v>
      </c>
      <c r="N6">
        <v>5</v>
      </c>
    </row>
    <row r="7" spans="2:14">
      <c r="G7" s="33">
        <v>0.5</v>
      </c>
      <c r="J7" t="s">
        <v>210</v>
      </c>
      <c r="N7">
        <v>6</v>
      </c>
    </row>
    <row r="8" spans="2:14">
      <c r="G8" s="33">
        <v>0.52083333333333304</v>
      </c>
      <c r="J8" t="s">
        <v>269</v>
      </c>
    </row>
    <row r="9" spans="2:14">
      <c r="G9" s="33">
        <v>0.54166666666666696</v>
      </c>
    </row>
    <row r="10" spans="2:14">
      <c r="G10" s="33">
        <v>0.5625</v>
      </c>
    </row>
    <row r="11" spans="2:14">
      <c r="G11" s="33">
        <v>0.58333333333333304</v>
      </c>
    </row>
    <row r="12" spans="2:14">
      <c r="G12" s="33">
        <v>0.60416666666666596</v>
      </c>
    </row>
    <row r="13" spans="2:14">
      <c r="G13" s="33">
        <v>0.625</v>
      </c>
    </row>
    <row r="14" spans="2:14">
      <c r="G14" s="33">
        <v>0.64583333333333304</v>
      </c>
    </row>
    <row r="15" spans="2:14">
      <c r="G15" s="33">
        <v>0.66666666666666596</v>
      </c>
    </row>
    <row r="16" spans="2:14">
      <c r="G16" s="33">
        <v>0.6875</v>
      </c>
    </row>
    <row r="17" spans="7:7">
      <c r="G17" s="33">
        <v>0.70833333333333304</v>
      </c>
    </row>
    <row r="18" spans="7:7">
      <c r="G18" s="33">
        <v>0.72916666666666596</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sheetPr codeName="Feuil3"/>
  <dimension ref="A1:M1626"/>
  <sheetViews>
    <sheetView topLeftCell="D1" zoomScale="85" zoomScaleNormal="85" workbookViewId="0">
      <pane ySplit="10" topLeftCell="A17" activePane="bottomLeft" state="frozen"/>
      <selection pane="bottomLeft" activeCell="G31" sqref="G31"/>
    </sheetView>
  </sheetViews>
  <sheetFormatPr baseColWidth="10" defaultColWidth="11.375" defaultRowHeight="14.25"/>
  <cols>
    <col min="1" max="2" width="11.375" style="18"/>
    <col min="3" max="3" width="17" style="18" bestFit="1" customWidth="1"/>
    <col min="4" max="4" width="29.375" style="18" customWidth="1"/>
    <col min="5" max="5" width="15" style="51" customWidth="1"/>
    <col min="6" max="6" width="40.125" style="18" customWidth="1"/>
    <col min="7" max="7" width="17.375" style="18" bestFit="1" customWidth="1"/>
    <col min="8" max="8" width="17.875" style="18" bestFit="1" customWidth="1"/>
    <col min="9" max="9" width="13" style="18" bestFit="1" customWidth="1"/>
    <col min="10" max="10" width="11.25" style="18" bestFit="1" customWidth="1"/>
    <col min="11" max="11" width="18.125" style="32" bestFit="1" customWidth="1"/>
    <col min="12" max="12" width="12.75" style="53" bestFit="1" customWidth="1"/>
    <col min="13" max="13" width="71.25" style="18" customWidth="1"/>
    <col min="14" max="19" width="11.375" style="18"/>
    <col min="20" max="20" width="24.125" style="18" bestFit="1" customWidth="1"/>
    <col min="21" max="16384" width="11.375" style="18"/>
  </cols>
  <sheetData>
    <row r="1" spans="1:13">
      <c r="F1" s="52"/>
    </row>
    <row r="2" spans="1:13">
      <c r="F2" s="52"/>
    </row>
    <row r="3" spans="1:13">
      <c r="F3" s="52"/>
    </row>
    <row r="4" spans="1:13">
      <c r="F4" s="52"/>
    </row>
    <row r="5" spans="1:13">
      <c r="F5" s="52"/>
    </row>
    <row r="6" spans="1:13">
      <c r="F6" s="52"/>
    </row>
    <row r="7" spans="1:13">
      <c r="F7" s="54" t="s">
        <v>190</v>
      </c>
    </row>
    <row r="8" spans="1:13">
      <c r="F8" s="52"/>
    </row>
    <row r="9" spans="1:13" ht="15.75">
      <c r="E9" s="55"/>
      <c r="F9" s="60"/>
      <c r="G9" s="60"/>
      <c r="H9" s="60"/>
      <c r="I9" s="60"/>
      <c r="J9" s="60"/>
    </row>
    <row r="10" spans="1:13" ht="15">
      <c r="A10" s="56" t="s">
        <v>3</v>
      </c>
      <c r="B10" s="56" t="s">
        <v>0</v>
      </c>
      <c r="C10" s="56" t="s">
        <v>2</v>
      </c>
      <c r="D10" s="57" t="s">
        <v>4</v>
      </c>
      <c r="E10" s="58" t="s">
        <v>5</v>
      </c>
      <c r="F10" s="61" t="s">
        <v>1</v>
      </c>
      <c r="G10" s="61" t="s">
        <v>200</v>
      </c>
      <c r="H10" s="61" t="s">
        <v>32</v>
      </c>
      <c r="I10" s="61" t="s">
        <v>7</v>
      </c>
      <c r="J10" s="61" t="s">
        <v>33</v>
      </c>
      <c r="K10" s="61" t="s">
        <v>216</v>
      </c>
      <c r="L10" s="61" t="s">
        <v>217</v>
      </c>
      <c r="M10" s="57" t="s">
        <v>8</v>
      </c>
    </row>
    <row r="11" spans="1:13" s="1" customFormat="1">
      <c r="A11" s="1" t="str">
        <f>IF(E11&lt;&gt;"",TEXT(E11, "hh:mm"),"-")</f>
        <v>13:46</v>
      </c>
      <c r="B11" s="3">
        <f>IF(E11&lt;&gt;"",DATE(YEAR(E11),MONTH(E11), DAY(E11)),"-")</f>
        <v>45719</v>
      </c>
      <c r="C11" s="1" t="str">
        <f>IF(F11&lt;&gt;"", LEFT(RIGHT(F11, LEN(F11) - FIND("N°", F11) - 1), FIND(" ", RIGHT(F11, LEN(F11) - FIND("N°", F11) - 1) &amp; " ") - 1), "")</f>
        <v>1574146</v>
      </c>
      <c r="D11" s="1" t="str">
        <f>IF(F11&lt;&gt;"",RIGHT(F11, LEN(F11) - FIND(" - ", F11) - 2),"")</f>
        <v>Liliane MENTREL</v>
      </c>
      <c r="E11" s="26">
        <v>45719.574097222219</v>
      </c>
      <c r="F11" t="s">
        <v>16</v>
      </c>
      <c r="G11" s="1" t="s">
        <v>210</v>
      </c>
      <c r="H11" t="s">
        <v>9</v>
      </c>
      <c r="I11" t="s">
        <v>10</v>
      </c>
      <c r="J11" t="s">
        <v>11</v>
      </c>
      <c r="K11" s="32"/>
      <c r="L11" s="30"/>
      <c r="M11" s="27"/>
    </row>
    <row r="12" spans="1:13">
      <c r="A12" s="18" t="str">
        <f t="shared" ref="A12:A21" si="0">IF(E12&lt;&gt;"",TEXT(E12, "hh:mm"),"-")</f>
        <v>13:48</v>
      </c>
      <c r="B12" s="59">
        <f t="shared" ref="B12:B21" si="1">IF(E12&lt;&gt;"",DATE(YEAR(E12),MONTH(E12), DAY(E12)),"-")</f>
        <v>45719</v>
      </c>
      <c r="C12" s="18" t="str">
        <f t="shared" ref="C12:C16" si="2">IF(F12&lt;&gt;"", LEFT(RIGHT(F12, LEN(F12) - FIND("N°", F12) - 1), FIND(" ", RIGHT(F12, LEN(F12) - FIND("N°", F12) - 1) &amp; " ") - 1), "")</f>
        <v>1574146</v>
      </c>
      <c r="D12" s="18" t="str">
        <f t="shared" ref="D12:D71" si="3">IF(F12&lt;&gt;"",RIGHT(F12, LEN(F12) - FIND(" - ", F12) - 2),"")</f>
        <v>Liliane MENTREL</v>
      </c>
      <c r="E12" s="51">
        <v>45719.575498495367</v>
      </c>
      <c r="F12" s="18" t="s">
        <v>16</v>
      </c>
      <c r="G12" s="18" t="s">
        <v>201</v>
      </c>
      <c r="H12" s="18" t="s">
        <v>12</v>
      </c>
      <c r="I12" s="18" t="s">
        <v>13</v>
      </c>
      <c r="J12" s="18" t="s">
        <v>14</v>
      </c>
    </row>
    <row r="13" spans="1:13">
      <c r="A13" s="18" t="str">
        <f t="shared" si="0"/>
        <v>14:31</v>
      </c>
      <c r="B13" s="59">
        <f t="shared" si="1"/>
        <v>45719</v>
      </c>
      <c r="C13" s="18" t="str">
        <f t="shared" si="2"/>
        <v>1344695</v>
      </c>
      <c r="D13" s="18" t="str">
        <f t="shared" si="3"/>
        <v>Sylvie CHANSIGAUD</v>
      </c>
      <c r="E13" s="51">
        <v>45719.604906944442</v>
      </c>
      <c r="F13" s="18" t="s">
        <v>15</v>
      </c>
      <c r="G13" s="18" t="s">
        <v>210</v>
      </c>
      <c r="H13" s="18" t="s">
        <v>12</v>
      </c>
      <c r="I13" s="18" t="s">
        <v>13</v>
      </c>
      <c r="J13" s="18" t="s">
        <v>14</v>
      </c>
    </row>
    <row r="14" spans="1:13" s="1" customFormat="1">
      <c r="A14" s="1" t="str">
        <f t="shared" si="0"/>
        <v>08:01</v>
      </c>
      <c r="B14" s="3">
        <f t="shared" si="1"/>
        <v>45720</v>
      </c>
      <c r="C14" s="1" t="str">
        <f t="shared" si="2"/>
        <v>1574146</v>
      </c>
      <c r="D14" s="1" t="str">
        <f t="shared" si="3"/>
        <v>Liliane MENTREL</v>
      </c>
      <c r="E14" s="26">
        <v>45720.334602314811</v>
      </c>
      <c r="F14" t="s">
        <v>16</v>
      </c>
      <c r="G14" s="1" t="s">
        <v>220</v>
      </c>
      <c r="H14" t="s">
        <v>17</v>
      </c>
      <c r="I14" t="s">
        <v>17</v>
      </c>
      <c r="J14" t="s">
        <v>11</v>
      </c>
      <c r="K14" s="32"/>
      <c r="L14" s="30"/>
      <c r="M14" s="27" t="s">
        <v>17</v>
      </c>
    </row>
    <row r="15" spans="1:13" s="1" customFormat="1">
      <c r="A15" s="1" t="str">
        <f t="shared" si="0"/>
        <v>08:46</v>
      </c>
      <c r="B15" s="3">
        <f t="shared" si="1"/>
        <v>45720</v>
      </c>
      <c r="C15" s="1" t="str">
        <f t="shared" si="2"/>
        <v>881113</v>
      </c>
      <c r="D15" s="1" t="str">
        <f t="shared" si="3"/>
        <v>Marie-pascale ARTON</v>
      </c>
      <c r="E15" s="26">
        <v>45720.36553101852</v>
      </c>
      <c r="F15" t="s">
        <v>18</v>
      </c>
      <c r="G15" s="1" t="s">
        <v>220</v>
      </c>
      <c r="H15" t="s">
        <v>19</v>
      </c>
      <c r="I15" t="s">
        <v>20</v>
      </c>
      <c r="J15" t="s">
        <v>11</v>
      </c>
      <c r="K15" s="32"/>
      <c r="L15" s="30"/>
      <c r="M15" s="27" t="s">
        <v>21</v>
      </c>
    </row>
    <row r="16" spans="1:13" s="1" customFormat="1">
      <c r="A16" s="1" t="str">
        <f t="shared" si="0"/>
        <v>09:30</v>
      </c>
      <c r="B16" s="3">
        <f t="shared" si="1"/>
        <v>45720</v>
      </c>
      <c r="C16" s="1" t="str">
        <f t="shared" si="2"/>
        <v>1575397</v>
      </c>
      <c r="D16" s="1" t="str">
        <f t="shared" si="3"/>
        <v>Dominique VIGUIER</v>
      </c>
      <c r="E16" s="26">
        <v>45720.396469907406</v>
      </c>
      <c r="F16" t="s">
        <v>22</v>
      </c>
      <c r="G16" s="1" t="s">
        <v>220</v>
      </c>
      <c r="H16" t="s">
        <v>23</v>
      </c>
      <c r="I16" t="s">
        <v>20</v>
      </c>
      <c r="J16" t="s">
        <v>11</v>
      </c>
      <c r="K16" s="32"/>
      <c r="L16" s="30"/>
      <c r="M16" s="27" t="s">
        <v>21</v>
      </c>
    </row>
    <row r="17" spans="1:13">
      <c r="A17" s="18" t="str">
        <f t="shared" si="0"/>
        <v>11:38</v>
      </c>
      <c r="B17" s="59">
        <f t="shared" si="1"/>
        <v>45720</v>
      </c>
      <c r="C17" s="18" t="str">
        <f>IF(F17&lt;&gt;"", LEFT(RIGHT(F17, LEN(F17) - FIND("N°", F17) - 1), FIND(" ", RIGHT(F17, LEN(F17) - FIND("N°", F17) - 1) &amp; " ") - 1), "-")</f>
        <v>314064</v>
      </c>
      <c r="D17" s="18" t="str">
        <f t="shared" si="3"/>
        <v>Didier LE PARC</v>
      </c>
      <c r="E17" s="51">
        <v>45720.485100231483</v>
      </c>
      <c r="F17" s="18" t="s">
        <v>24</v>
      </c>
      <c r="G17" s="18" t="s">
        <v>220</v>
      </c>
      <c r="H17" s="18" t="s">
        <v>25</v>
      </c>
      <c r="I17" s="18" t="s">
        <v>14</v>
      </c>
      <c r="J17" s="18" t="s">
        <v>14</v>
      </c>
      <c r="M17" s="18" t="s">
        <v>26</v>
      </c>
    </row>
    <row r="18" spans="1:13">
      <c r="A18" s="18" t="str">
        <f t="shared" si="0"/>
        <v>09:25</v>
      </c>
      <c r="B18" s="59">
        <f t="shared" si="1"/>
        <v>45721</v>
      </c>
      <c r="C18" s="18" t="str">
        <f t="shared" ref="C18:C80" si="4">IF(F18&lt;&gt;"", LEFT(RIGHT(F18, LEN(F18) - FIND("N°", F18) - 1), FIND(" ", RIGHT(F18, LEN(F18) - FIND("N°", F18) - 1) &amp; " ") - 1), "-")</f>
        <v>1611218</v>
      </c>
      <c r="D18" s="18" t="str">
        <f t="shared" si="3"/>
        <v>DANIELLE SCANTLEBURY</v>
      </c>
      <c r="E18" s="51">
        <v>45721.392752893516</v>
      </c>
      <c r="F18" s="18" t="s">
        <v>27</v>
      </c>
      <c r="G18" s="18" t="s">
        <v>220</v>
      </c>
      <c r="H18" s="18" t="s">
        <v>28</v>
      </c>
      <c r="I18" s="18" t="s">
        <v>20</v>
      </c>
      <c r="J18" s="18" t="s">
        <v>14</v>
      </c>
      <c r="M18" s="18" t="s">
        <v>29</v>
      </c>
    </row>
    <row r="19" spans="1:13">
      <c r="A19" s="18" t="str">
        <f t="shared" si="0"/>
        <v>15:51</v>
      </c>
      <c r="B19" s="59">
        <f t="shared" si="1"/>
        <v>45721</v>
      </c>
      <c r="C19" s="18" t="str">
        <f t="shared" si="4"/>
        <v>1611218</v>
      </c>
      <c r="D19" s="18" t="str">
        <f t="shared" si="3"/>
        <v>DANIELLE SCANTLEBURY</v>
      </c>
      <c r="E19" s="51">
        <v>45721.660718287036</v>
      </c>
      <c r="F19" s="18" t="s">
        <v>27</v>
      </c>
      <c r="G19" s="18" t="s">
        <v>30</v>
      </c>
      <c r="I19" s="18" t="s">
        <v>14</v>
      </c>
      <c r="J19" s="18" t="s">
        <v>14</v>
      </c>
      <c r="L19" s="53">
        <v>45783</v>
      </c>
      <c r="M19" s="18" t="s">
        <v>31</v>
      </c>
    </row>
    <row r="20" spans="1:13">
      <c r="A20" s="18" t="str">
        <f t="shared" si="0"/>
        <v>15:51</v>
      </c>
      <c r="B20" s="59">
        <f t="shared" si="1"/>
        <v>45722</v>
      </c>
      <c r="C20" s="18" t="str">
        <f t="shared" si="4"/>
        <v>1602797</v>
      </c>
      <c r="D20" s="18" t="str">
        <f t="shared" si="3"/>
        <v>Somah françoise SIBAHI</v>
      </c>
      <c r="E20" s="51">
        <v>45722.660717592589</v>
      </c>
      <c r="F20" s="18" t="s">
        <v>174</v>
      </c>
      <c r="G20" s="18" t="s">
        <v>175</v>
      </c>
      <c r="I20" s="18" t="s">
        <v>20</v>
      </c>
      <c r="J20" s="18" t="s">
        <v>14</v>
      </c>
      <c r="M20" s="18" t="s">
        <v>176</v>
      </c>
    </row>
    <row r="21" spans="1:13" s="1" customFormat="1">
      <c r="A21" s="1" t="str">
        <f t="shared" si="0"/>
        <v>09:01</v>
      </c>
      <c r="B21" s="3">
        <f t="shared" si="1"/>
        <v>45723</v>
      </c>
      <c r="C21" s="18" t="str">
        <f t="shared" si="4"/>
        <v>1602797</v>
      </c>
      <c r="D21" s="1" t="str">
        <f t="shared" si="3"/>
        <v>Somah françoise SIBAHI</v>
      </c>
      <c r="E21" s="26">
        <v>45723.37599537037</v>
      </c>
      <c r="F21" t="s">
        <v>174</v>
      </c>
      <c r="G21" t="s">
        <v>220</v>
      </c>
      <c r="H21"/>
      <c r="I21"/>
      <c r="J21"/>
      <c r="K21" s="32"/>
      <c r="L21" s="30"/>
      <c r="M21" s="27"/>
    </row>
    <row r="22" spans="1:13" s="1" customFormat="1">
      <c r="A22" s="1" t="str">
        <f t="shared" ref="A22:A84" si="5">IF(E22&lt;&gt;"",TEXT(E22, "hh:mm"),"-")</f>
        <v>09:16</v>
      </c>
      <c r="B22" s="3">
        <f t="shared" ref="B22:B84" si="6">IF(E22&lt;&gt;"",DATE(YEAR(E22),MONTH(E22), DAY(E22)),"-")</f>
        <v>45723</v>
      </c>
      <c r="C22" s="18" t="str">
        <f t="shared" si="4"/>
        <v>1599457</v>
      </c>
      <c r="D22" s="1" t="str">
        <f t="shared" si="3"/>
        <v>MARIA DUARTE NUNES</v>
      </c>
      <c r="E22" s="26">
        <v>45723.386412037034</v>
      </c>
      <c r="F22" t="s">
        <v>177</v>
      </c>
      <c r="G22" t="s">
        <v>220</v>
      </c>
      <c r="H22" t="s">
        <v>178</v>
      </c>
      <c r="I22"/>
      <c r="J22"/>
      <c r="K22" s="32"/>
      <c r="L22" s="30"/>
      <c r="M22" s="27"/>
    </row>
    <row r="23" spans="1:13" s="1" customFormat="1">
      <c r="A23" s="1" t="str">
        <f t="shared" si="5"/>
        <v>13:19</v>
      </c>
      <c r="B23" s="3">
        <f t="shared" si="6"/>
        <v>45723</v>
      </c>
      <c r="C23" s="18" t="str">
        <f t="shared" si="4"/>
        <v>1703273</v>
      </c>
      <c r="D23" s="1" t="str">
        <f t="shared" si="3"/>
        <v>Christian PEYROT</v>
      </c>
      <c r="E23" s="26">
        <v>45723.555495949076</v>
      </c>
      <c r="F23" t="s">
        <v>183</v>
      </c>
      <c r="G23" t="s">
        <v>220</v>
      </c>
      <c r="H23">
        <v>0</v>
      </c>
      <c r="I23" t="s">
        <v>14</v>
      </c>
      <c r="K23" s="32"/>
      <c r="L23" s="30"/>
      <c r="M23" s="27" t="s">
        <v>184</v>
      </c>
    </row>
    <row r="24" spans="1:13" s="1" customFormat="1">
      <c r="A24" s="1" t="str">
        <f t="shared" si="5"/>
        <v>13:20</v>
      </c>
      <c r="B24" s="3">
        <f t="shared" si="6"/>
        <v>45723</v>
      </c>
      <c r="C24" s="18" t="str">
        <f t="shared" si="4"/>
        <v>1703273</v>
      </c>
      <c r="D24" s="1" t="str">
        <f t="shared" si="3"/>
        <v>Christian PEYROT</v>
      </c>
      <c r="E24" s="26">
        <v>45723.555557638887</v>
      </c>
      <c r="F24" t="s">
        <v>183</v>
      </c>
      <c r="G24" t="s">
        <v>220</v>
      </c>
      <c r="H24">
        <v>0</v>
      </c>
      <c r="I24" t="s">
        <v>14</v>
      </c>
      <c r="K24" s="32"/>
      <c r="L24" s="30"/>
      <c r="M24" s="27" t="s">
        <v>184</v>
      </c>
    </row>
    <row r="25" spans="1:13" s="1" customFormat="1">
      <c r="A25" s="1" t="str">
        <f t="shared" si="5"/>
        <v>13:26</v>
      </c>
      <c r="B25" s="3">
        <f t="shared" si="6"/>
        <v>45723</v>
      </c>
      <c r="C25" s="18" t="str">
        <f t="shared" si="4"/>
        <v>1523857</v>
      </c>
      <c r="D25" s="1" t="str">
        <f t="shared" si="3"/>
        <v>Mhajbi ABDELKEFI</v>
      </c>
      <c r="E25" s="26">
        <v>45723.560037962961</v>
      </c>
      <c r="F25" t="s">
        <v>186</v>
      </c>
      <c r="G25" t="s">
        <v>220</v>
      </c>
      <c r="H25">
        <v>0</v>
      </c>
      <c r="I25">
        <v>0</v>
      </c>
      <c r="K25" s="32"/>
      <c r="L25" s="30"/>
      <c r="M25" s="27" t="s">
        <v>187</v>
      </c>
    </row>
    <row r="26" spans="1:13" s="1" customFormat="1">
      <c r="A26" s="1" t="str">
        <f t="shared" si="5"/>
        <v>13:37</v>
      </c>
      <c r="B26" s="3">
        <f t="shared" si="6"/>
        <v>45723</v>
      </c>
      <c r="C26" s="18" t="str">
        <f t="shared" si="4"/>
        <v>1599940</v>
      </c>
      <c r="D26" s="1" t="str">
        <f t="shared" si="3"/>
        <v>Jean pierre MAUBECHE</v>
      </c>
      <c r="E26" s="26">
        <v>45723.567767708337</v>
      </c>
      <c r="F26" t="s">
        <v>188</v>
      </c>
      <c r="G26" t="s">
        <v>220</v>
      </c>
      <c r="H26">
        <v>0</v>
      </c>
      <c r="I26">
        <v>0</v>
      </c>
      <c r="K26" s="32"/>
      <c r="L26" s="30"/>
      <c r="M26" s="27" t="s">
        <v>187</v>
      </c>
    </row>
    <row r="27" spans="1:13" s="1" customFormat="1">
      <c r="A27" s="1" t="str">
        <f t="shared" si="5"/>
        <v>13:46</v>
      </c>
      <c r="B27" s="3">
        <f t="shared" si="6"/>
        <v>45723</v>
      </c>
      <c r="C27" s="18" t="str">
        <f t="shared" si="4"/>
        <v>1614649</v>
      </c>
      <c r="D27" s="1" t="str">
        <f t="shared" si="3"/>
        <v>Philippe NUBUL</v>
      </c>
      <c r="E27" s="26">
        <v>45723.573719560183</v>
      </c>
      <c r="F27" t="s">
        <v>189</v>
      </c>
      <c r="G27" t="s">
        <v>220</v>
      </c>
      <c r="H27">
        <v>0</v>
      </c>
      <c r="I27" t="s">
        <v>20</v>
      </c>
      <c r="K27" s="32"/>
      <c r="L27" s="30"/>
      <c r="M27" s="27" t="s">
        <v>187</v>
      </c>
    </row>
    <row r="28" spans="1:13" s="1" customFormat="1">
      <c r="A28" s="1" t="str">
        <f t="shared" si="5"/>
        <v>14:02</v>
      </c>
      <c r="B28" s="3">
        <f t="shared" si="6"/>
        <v>45723</v>
      </c>
      <c r="C28" s="18" t="str">
        <f t="shared" si="4"/>
        <v>1599457</v>
      </c>
      <c r="D28" s="1" t="str">
        <f t="shared" si="3"/>
        <v>MARIA DUARTE NUNES</v>
      </c>
      <c r="E28" s="26">
        <v>45723.584991087962</v>
      </c>
      <c r="F28" t="s">
        <v>177</v>
      </c>
      <c r="G28" t="s">
        <v>220</v>
      </c>
      <c r="H28" t="s">
        <v>192</v>
      </c>
      <c r="I28" t="s">
        <v>193</v>
      </c>
      <c r="K28" s="32"/>
      <c r="L28" s="30"/>
      <c r="M28" s="27" t="s">
        <v>194</v>
      </c>
    </row>
    <row r="29" spans="1:13" s="1" customFormat="1">
      <c r="A29" s="1" t="str">
        <f t="shared" si="5"/>
        <v>10:37</v>
      </c>
      <c r="B29" s="3">
        <f t="shared" si="6"/>
        <v>45726</v>
      </c>
      <c r="C29" s="18" t="str">
        <f t="shared" si="4"/>
        <v>1599457</v>
      </c>
      <c r="D29" s="1" t="str">
        <f t="shared" si="3"/>
        <v>MARIA DUARTE NUNES</v>
      </c>
      <c r="E29" s="26">
        <v>45726.442522106481</v>
      </c>
      <c r="F29" t="s">
        <v>177</v>
      </c>
      <c r="G29" t="s">
        <v>220</v>
      </c>
      <c r="H29" t="s">
        <v>182</v>
      </c>
      <c r="I29" t="s">
        <v>13</v>
      </c>
      <c r="J29" s="1" t="s">
        <v>11</v>
      </c>
      <c r="K29" s="32"/>
      <c r="L29" s="30">
        <v>0.41666666666666669</v>
      </c>
      <c r="M29" s="27">
        <v>45727</v>
      </c>
    </row>
    <row r="30" spans="1:13">
      <c r="A30" s="18" t="str">
        <f t="shared" si="5"/>
        <v>15:24</v>
      </c>
      <c r="B30" s="59">
        <f t="shared" si="6"/>
        <v>45723</v>
      </c>
      <c r="C30" s="18" t="str">
        <f t="shared" si="4"/>
        <v>1630171</v>
      </c>
      <c r="D30" s="18" t="str">
        <f t="shared" si="3"/>
        <v>Micheline TARTAG</v>
      </c>
      <c r="E30" s="51">
        <v>45723.642347569446</v>
      </c>
      <c r="F30" s="18" t="s">
        <v>185</v>
      </c>
      <c r="G30" s="18" t="s">
        <v>269</v>
      </c>
      <c r="H30" s="18" t="s">
        <v>195</v>
      </c>
      <c r="J30" s="18" t="s">
        <v>14</v>
      </c>
      <c r="K30" s="32">
        <v>45728</v>
      </c>
      <c r="L30" s="53">
        <v>0.66666666666666663</v>
      </c>
      <c r="M30" s="18" t="s">
        <v>196</v>
      </c>
    </row>
    <row r="31" spans="1:13">
      <c r="A31" s="18" t="str">
        <f t="shared" si="5"/>
        <v>15:47</v>
      </c>
      <c r="B31" s="59">
        <f t="shared" si="6"/>
        <v>45723</v>
      </c>
      <c r="C31" s="18" t="str">
        <f t="shared" si="4"/>
        <v>1625831</v>
      </c>
      <c r="D31" s="18" t="str">
        <f t="shared" si="3"/>
        <v>Danielle DELRIEU</v>
      </c>
      <c r="E31" s="51">
        <v>45723.658323842596</v>
      </c>
      <c r="F31" s="18" t="s">
        <v>197</v>
      </c>
      <c r="G31" s="18" t="s">
        <v>220</v>
      </c>
      <c r="H31" s="18" t="s">
        <v>195</v>
      </c>
      <c r="J31" s="1" t="s">
        <v>11</v>
      </c>
      <c r="M31" s="18" t="s">
        <v>198</v>
      </c>
    </row>
    <row r="32" spans="1:13" s="1" customFormat="1">
      <c r="A32" s="1" t="str">
        <f t="shared" si="5"/>
        <v>08:38</v>
      </c>
      <c r="B32" s="3">
        <f t="shared" si="6"/>
        <v>45724</v>
      </c>
      <c r="C32" s="18" t="str">
        <f t="shared" si="4"/>
        <v>1503385</v>
      </c>
      <c r="D32" s="1" t="str">
        <f t="shared" si="3"/>
        <v>DOMINIQUE DUBOIS</v>
      </c>
      <c r="E32" s="26">
        <v>45724.35998587963</v>
      </c>
      <c r="F32" t="s">
        <v>199</v>
      </c>
      <c r="G32" t="s">
        <v>220</v>
      </c>
      <c r="H32" t="s">
        <v>191</v>
      </c>
      <c r="I32" s="1" t="s">
        <v>13</v>
      </c>
      <c r="J32" s="1" t="s">
        <v>11</v>
      </c>
      <c r="K32" s="32"/>
      <c r="L32" s="30"/>
      <c r="M32" s="27" t="s">
        <v>203</v>
      </c>
    </row>
    <row r="33" spans="1:13">
      <c r="A33" s="18" t="str">
        <f t="shared" si="5"/>
        <v>09:48</v>
      </c>
      <c r="B33" s="59">
        <f t="shared" si="6"/>
        <v>45724</v>
      </c>
      <c r="C33" s="18" t="str">
        <f t="shared" si="4"/>
        <v>1594927</v>
      </c>
      <c r="D33" s="18" t="str">
        <f t="shared" si="3"/>
        <v>Michel MANGIN</v>
      </c>
      <c r="E33" s="51">
        <v>45724.408953124999</v>
      </c>
      <c r="F33" s="18" t="s">
        <v>204</v>
      </c>
      <c r="G33" s="18" t="s">
        <v>220</v>
      </c>
      <c r="H33" s="18" t="s">
        <v>191</v>
      </c>
      <c r="J33" s="18" t="s">
        <v>14</v>
      </c>
      <c r="M33" s="18" t="s">
        <v>206</v>
      </c>
    </row>
    <row r="34" spans="1:13">
      <c r="A34" s="18" t="str">
        <f t="shared" si="5"/>
        <v>09:50</v>
      </c>
      <c r="B34" s="59">
        <f t="shared" si="6"/>
        <v>45724</v>
      </c>
      <c r="C34" s="18" t="str">
        <f t="shared" si="4"/>
        <v>1594927</v>
      </c>
      <c r="D34" s="18" t="str">
        <f t="shared" si="3"/>
        <v>Michel MANGIN</v>
      </c>
      <c r="E34" s="51">
        <v>45724.40972476852</v>
      </c>
      <c r="F34" s="18" t="s">
        <v>204</v>
      </c>
      <c r="G34" s="18" t="s">
        <v>220</v>
      </c>
      <c r="H34" s="18" t="s">
        <v>191</v>
      </c>
      <c r="J34" s="18" t="s">
        <v>14</v>
      </c>
      <c r="M34" s="18" t="s">
        <v>206</v>
      </c>
    </row>
    <row r="35" spans="1:13">
      <c r="A35" s="18" t="str">
        <f t="shared" si="5"/>
        <v>09:55</v>
      </c>
      <c r="B35" s="59">
        <f t="shared" si="6"/>
        <v>45724</v>
      </c>
      <c r="C35" s="18" t="str">
        <f t="shared" si="4"/>
        <v>1637269</v>
      </c>
      <c r="D35" s="18" t="str">
        <f t="shared" si="3"/>
        <v>Serge COULON</v>
      </c>
      <c r="E35" s="51">
        <v>45724.41339386574</v>
      </c>
      <c r="F35" s="18" t="s">
        <v>208</v>
      </c>
      <c r="G35" s="18" t="s">
        <v>210</v>
      </c>
      <c r="H35" s="18" t="s">
        <v>195</v>
      </c>
      <c r="J35" s="18" t="s">
        <v>14</v>
      </c>
      <c r="M35" s="18" t="s">
        <v>209</v>
      </c>
    </row>
    <row r="36" spans="1:13" s="1" customFormat="1">
      <c r="A36" s="1" t="str">
        <f t="shared" si="5"/>
        <v>10:29</v>
      </c>
      <c r="B36" s="3">
        <f t="shared" si="6"/>
        <v>45724</v>
      </c>
      <c r="C36" s="18" t="str">
        <f t="shared" si="4"/>
        <v>1637269</v>
      </c>
      <c r="D36" s="1" t="str">
        <f t="shared" si="3"/>
        <v>Serge COULON</v>
      </c>
      <c r="E36" s="26">
        <v>45724.436941087966</v>
      </c>
      <c r="F36" s="1" t="s">
        <v>208</v>
      </c>
      <c r="G36" s="18" t="s">
        <v>210</v>
      </c>
      <c r="H36" t="s">
        <v>195</v>
      </c>
      <c r="I36" t="s">
        <v>20</v>
      </c>
      <c r="J36" s="1" t="s">
        <v>11</v>
      </c>
      <c r="K36" s="32"/>
      <c r="L36" s="30"/>
      <c r="M36" s="27" t="s">
        <v>211</v>
      </c>
    </row>
    <row r="37" spans="1:13" s="1" customFormat="1">
      <c r="A37" s="1" t="str">
        <f t="shared" si="5"/>
        <v>11:11</v>
      </c>
      <c r="B37" s="3">
        <f t="shared" si="6"/>
        <v>45724</v>
      </c>
      <c r="C37" s="18" t="str">
        <f t="shared" si="4"/>
        <v>1594927</v>
      </c>
      <c r="D37" s="1" t="str">
        <f t="shared" si="3"/>
        <v>Michel MANGIN</v>
      </c>
      <c r="E37" s="26">
        <v>45724.466364120373</v>
      </c>
      <c r="F37" t="s">
        <v>204</v>
      </c>
      <c r="G37" t="s">
        <v>220</v>
      </c>
      <c r="H37" t="s">
        <v>195</v>
      </c>
      <c r="I37" t="s">
        <v>20</v>
      </c>
      <c r="K37" s="32"/>
      <c r="L37" s="30"/>
      <c r="M37" s="27" t="s">
        <v>212</v>
      </c>
    </row>
    <row r="38" spans="1:13" s="1" customFormat="1">
      <c r="A38" s="1" t="str">
        <f t="shared" si="5"/>
        <v>08:56</v>
      </c>
      <c r="B38" s="3">
        <f t="shared" si="6"/>
        <v>45726</v>
      </c>
      <c r="C38" s="18" t="str">
        <f t="shared" si="4"/>
        <v>1625831</v>
      </c>
      <c r="D38" s="1" t="str">
        <f t="shared" si="3"/>
        <v>Danielle DELRIEU</v>
      </c>
      <c r="E38" s="26">
        <v>45726.372464120373</v>
      </c>
      <c r="F38" s="1" t="s">
        <v>197</v>
      </c>
      <c r="G38" s="1" t="s">
        <v>192</v>
      </c>
      <c r="H38" s="1" t="s">
        <v>13</v>
      </c>
      <c r="I38" s="1" t="s">
        <v>11</v>
      </c>
      <c r="K38" s="32"/>
      <c r="L38" s="30"/>
      <c r="M38" s="39" t="s">
        <v>214</v>
      </c>
    </row>
    <row r="39" spans="1:13" s="1" customFormat="1">
      <c r="A39" s="1" t="str">
        <f t="shared" si="5"/>
        <v>11:02</v>
      </c>
      <c r="B39" s="3">
        <f t="shared" si="6"/>
        <v>45726</v>
      </c>
      <c r="C39" s="18" t="str">
        <f t="shared" si="4"/>
        <v>1599457</v>
      </c>
      <c r="D39" s="1" t="str">
        <f t="shared" si="3"/>
        <v>MARIA DUARTE NUNES</v>
      </c>
      <c r="E39" s="26">
        <v>45726.460008333335</v>
      </c>
      <c r="F39" s="1" t="s">
        <v>177</v>
      </c>
      <c r="G39" s="1" t="s">
        <v>182</v>
      </c>
      <c r="H39" s="1" t="s">
        <v>195</v>
      </c>
      <c r="I39" s="1" t="s">
        <v>13</v>
      </c>
      <c r="J39" s="1" t="s">
        <v>11</v>
      </c>
      <c r="K39" s="32"/>
      <c r="L39" s="30"/>
      <c r="M39" s="1" t="s">
        <v>221</v>
      </c>
    </row>
    <row r="40" spans="1:13">
      <c r="A40" s="18" t="str">
        <f t="shared" si="5"/>
        <v>11:49</v>
      </c>
      <c r="B40" s="59">
        <f t="shared" si="6"/>
        <v>45726</v>
      </c>
      <c r="C40" s="18" t="str">
        <f t="shared" si="4"/>
        <v>1637269</v>
      </c>
      <c r="D40" s="18" t="str">
        <f t="shared" si="3"/>
        <v>Serge COULON</v>
      </c>
      <c r="E40" s="51">
        <v>45726.49252673611</v>
      </c>
      <c r="F40" s="18" t="s">
        <v>208</v>
      </c>
      <c r="G40" s="18" t="s">
        <v>210</v>
      </c>
      <c r="H40" s="18" t="s">
        <v>195</v>
      </c>
      <c r="I40" s="18" t="s">
        <v>13</v>
      </c>
      <c r="J40" s="18" t="s">
        <v>14</v>
      </c>
      <c r="K40" s="32">
        <v>45727</v>
      </c>
      <c r="L40" s="53">
        <v>0.58333333333333337</v>
      </c>
      <c r="M40" s="18" t="s">
        <v>222</v>
      </c>
    </row>
    <row r="41" spans="1:13">
      <c r="A41" s="18" t="str">
        <f t="shared" si="5"/>
        <v>13:23</v>
      </c>
      <c r="B41" s="59">
        <f t="shared" si="6"/>
        <v>45726</v>
      </c>
      <c r="C41" s="18" t="str">
        <f t="shared" si="4"/>
        <v>1591725</v>
      </c>
      <c r="D41" s="18" t="str">
        <f t="shared" si="3"/>
        <v>Pascale CHETOT GAMBETTI</v>
      </c>
      <c r="E41" s="51">
        <v>45726.558152777776</v>
      </c>
      <c r="F41" s="18" t="s">
        <v>218</v>
      </c>
      <c r="G41" s="18" t="s">
        <v>201</v>
      </c>
      <c r="H41" s="18" t="s">
        <v>195</v>
      </c>
      <c r="I41" s="18" t="s">
        <v>13</v>
      </c>
      <c r="J41" s="18" t="s">
        <v>14</v>
      </c>
      <c r="K41" s="32">
        <v>45727</v>
      </c>
      <c r="L41" s="53">
        <v>0.375</v>
      </c>
      <c r="M41" s="18" t="s">
        <v>223</v>
      </c>
    </row>
    <row r="42" spans="1:13">
      <c r="A42" s="18" t="str">
        <f t="shared" si="5"/>
        <v>16:07</v>
      </c>
      <c r="B42" s="59">
        <f t="shared" si="6"/>
        <v>45726</v>
      </c>
      <c r="C42" s="18" t="str">
        <f t="shared" si="4"/>
        <v>1560288</v>
      </c>
      <c r="D42" s="18" t="str">
        <f t="shared" si="3"/>
        <v>RAHAJALISOA RASOLONDRAIBE</v>
      </c>
      <c r="E42" s="51">
        <v>45726.671674421297</v>
      </c>
      <c r="F42" s="18" t="s">
        <v>219</v>
      </c>
      <c r="G42" s="18" t="s">
        <v>210</v>
      </c>
      <c r="H42" s="18" t="s">
        <v>192</v>
      </c>
      <c r="I42" s="18" t="s">
        <v>13</v>
      </c>
      <c r="J42" s="18" t="s">
        <v>14</v>
      </c>
      <c r="K42" s="32">
        <v>45727</v>
      </c>
      <c r="L42" s="53">
        <v>0.375</v>
      </c>
      <c r="M42" s="18" t="s">
        <v>224</v>
      </c>
    </row>
    <row r="43" spans="1:13" s="1" customFormat="1">
      <c r="A43" s="1" t="str">
        <f t="shared" si="5"/>
        <v>08:31</v>
      </c>
      <c r="B43" s="3">
        <f t="shared" si="6"/>
        <v>45727</v>
      </c>
      <c r="C43" s="18" t="str">
        <f t="shared" si="4"/>
        <v>1560288</v>
      </c>
      <c r="D43" s="1" t="str">
        <f t="shared" si="3"/>
        <v>RAHAJALISOA RASOLONDRAIBE</v>
      </c>
      <c r="E43" s="26">
        <v>45727.355360648151</v>
      </c>
      <c r="F43" s="1" t="s">
        <v>219</v>
      </c>
      <c r="G43" s="1" t="s">
        <v>210</v>
      </c>
      <c r="H43" s="1" t="s">
        <v>195</v>
      </c>
      <c r="I43" s="1" t="s">
        <v>13</v>
      </c>
      <c r="J43" s="1" t="s">
        <v>14</v>
      </c>
      <c r="K43" s="32">
        <v>45727</v>
      </c>
      <c r="L43" s="30">
        <v>0.41666666666666702</v>
      </c>
      <c r="M43" s="1" t="s">
        <v>260</v>
      </c>
    </row>
    <row r="44" spans="1:13" s="1" customFormat="1">
      <c r="A44" s="1" t="str">
        <f t="shared" si="5"/>
        <v>08:46</v>
      </c>
      <c r="B44" s="3">
        <f t="shared" si="6"/>
        <v>45727</v>
      </c>
      <c r="C44" s="18" t="str">
        <f t="shared" si="4"/>
        <v>1591725</v>
      </c>
      <c r="D44" s="1" t="str">
        <f t="shared" si="3"/>
        <v>Pascale CHETOT GAMBETTI</v>
      </c>
      <c r="E44" s="26">
        <v>45727.365560995371</v>
      </c>
      <c r="F44" s="1" t="s">
        <v>218</v>
      </c>
      <c r="G44" s="1" t="s">
        <v>210</v>
      </c>
      <c r="H44" s="1" t="s">
        <v>195</v>
      </c>
      <c r="I44" s="1" t="s">
        <v>13</v>
      </c>
      <c r="J44" s="1" t="s">
        <v>14</v>
      </c>
      <c r="K44" s="32">
        <v>45727</v>
      </c>
      <c r="L44" s="30">
        <v>0.4375</v>
      </c>
      <c r="M44" s="1" t="s">
        <v>262</v>
      </c>
    </row>
    <row r="45" spans="1:13" s="1" customFormat="1">
      <c r="A45" s="1" t="str">
        <f t="shared" si="5"/>
        <v>08:59</v>
      </c>
      <c r="B45" s="3">
        <f t="shared" si="6"/>
        <v>45727</v>
      </c>
      <c r="C45" s="18" t="str">
        <f t="shared" si="4"/>
        <v>1637269</v>
      </c>
      <c r="D45" s="1" t="str">
        <f t="shared" si="3"/>
        <v>Serge COULON</v>
      </c>
      <c r="E45" s="26">
        <v>45727.374486921297</v>
      </c>
      <c r="F45" s="1" t="s">
        <v>208</v>
      </c>
      <c r="G45" s="1" t="s">
        <v>210</v>
      </c>
      <c r="H45" s="1" t="s">
        <v>195</v>
      </c>
      <c r="I45" s="1" t="s">
        <v>13</v>
      </c>
      <c r="J45" s="1" t="s">
        <v>14</v>
      </c>
      <c r="K45" s="32">
        <v>45727</v>
      </c>
      <c r="L45" s="30">
        <v>0.4375</v>
      </c>
      <c r="M45" s="1" t="s">
        <v>261</v>
      </c>
    </row>
    <row r="46" spans="1:13" s="1" customFormat="1">
      <c r="A46" s="1" t="str">
        <f t="shared" si="5"/>
        <v>09:58</v>
      </c>
      <c r="B46" s="3">
        <f t="shared" si="6"/>
        <v>45727</v>
      </c>
      <c r="C46" s="18" t="str">
        <f t="shared" si="4"/>
        <v>1611218</v>
      </c>
      <c r="D46" s="1" t="str">
        <f t="shared" si="3"/>
        <v>DANIELLE SCANTLEBURY</v>
      </c>
      <c r="E46" s="26">
        <v>45727.415758912037</v>
      </c>
      <c r="F46" s="1" t="s">
        <v>27</v>
      </c>
      <c r="G46" s="1" t="s">
        <v>201</v>
      </c>
      <c r="H46" s="1" t="s">
        <v>192</v>
      </c>
      <c r="I46" s="1" t="s">
        <v>13</v>
      </c>
      <c r="J46" s="1" t="s">
        <v>11</v>
      </c>
      <c r="K46" s="32"/>
      <c r="L46" s="30"/>
      <c r="M46" s="1" t="s">
        <v>263</v>
      </c>
    </row>
    <row r="47" spans="1:13" s="1" customFormat="1">
      <c r="A47" s="1" t="str">
        <f t="shared" si="5"/>
        <v>10:21</v>
      </c>
      <c r="B47" s="3">
        <f t="shared" si="6"/>
        <v>45727</v>
      </c>
      <c r="C47" s="18" t="str">
        <f t="shared" si="4"/>
        <v>1591725</v>
      </c>
      <c r="D47" s="1" t="str">
        <f t="shared" si="3"/>
        <v>Pascale CHETOT GAMBETTI</v>
      </c>
      <c r="E47" s="26">
        <v>45727.431593634261</v>
      </c>
      <c r="F47" s="1" t="s">
        <v>218</v>
      </c>
      <c r="G47" s="1" t="s">
        <v>182</v>
      </c>
      <c r="H47" s="1" t="s">
        <v>195</v>
      </c>
      <c r="I47" s="1" t="s">
        <v>13</v>
      </c>
      <c r="J47" s="1" t="s">
        <v>28</v>
      </c>
      <c r="K47" s="32">
        <v>0</v>
      </c>
      <c r="L47" s="30">
        <v>0</v>
      </c>
      <c r="M47" s="1" t="s">
        <v>264</v>
      </c>
    </row>
    <row r="48" spans="1:13" s="1" customFormat="1">
      <c r="A48" s="1" t="str">
        <f t="shared" si="5"/>
        <v>11:00</v>
      </c>
      <c r="B48" s="3">
        <f t="shared" si="6"/>
        <v>45727</v>
      </c>
      <c r="C48" s="18" t="str">
        <f t="shared" si="4"/>
        <v>1629776</v>
      </c>
      <c r="D48" s="1" t="str">
        <f t="shared" si="3"/>
        <v>Emma PLANQUES</v>
      </c>
      <c r="E48" s="26">
        <v>45727.458413657405</v>
      </c>
      <c r="F48" s="1" t="s">
        <v>265</v>
      </c>
      <c r="G48" s="1" t="s">
        <v>201</v>
      </c>
      <c r="H48" s="1" t="s">
        <v>192</v>
      </c>
      <c r="I48" s="1" t="s">
        <v>13</v>
      </c>
      <c r="J48" s="1" t="s">
        <v>28</v>
      </c>
      <c r="K48" s="32">
        <v>0</v>
      </c>
      <c r="L48" s="30">
        <v>0</v>
      </c>
      <c r="M48" s="1" t="s">
        <v>266</v>
      </c>
    </row>
    <row r="49" spans="1:13" s="1" customFormat="1">
      <c r="A49" s="1" t="str">
        <f t="shared" si="5"/>
        <v>11:25</v>
      </c>
      <c r="B49" s="3">
        <f t="shared" si="6"/>
        <v>45727</v>
      </c>
      <c r="C49" s="18" t="str">
        <f t="shared" si="4"/>
        <v>1629776</v>
      </c>
      <c r="D49" s="1" t="str">
        <f t="shared" si="3"/>
        <v>Emma PLANQUES</v>
      </c>
      <c r="E49" s="26">
        <v>45727.476024537034</v>
      </c>
      <c r="F49" s="1" t="s">
        <v>265</v>
      </c>
      <c r="G49" s="1" t="s">
        <v>201</v>
      </c>
      <c r="H49" s="1" t="s">
        <v>192</v>
      </c>
      <c r="I49" s="1" t="s">
        <v>13</v>
      </c>
      <c r="J49" s="1" t="s">
        <v>14</v>
      </c>
      <c r="K49" s="32">
        <v>45727</v>
      </c>
      <c r="L49" s="30">
        <v>0.70833333333333304</v>
      </c>
      <c r="M49" s="18" t="s">
        <v>267</v>
      </c>
    </row>
    <row r="50" spans="1:13" s="1" customFormat="1">
      <c r="A50" s="1" t="str">
        <f t="shared" si="5"/>
        <v>11:45</v>
      </c>
      <c r="B50" s="3">
        <f t="shared" si="6"/>
        <v>45727</v>
      </c>
      <c r="C50" s="18" t="str">
        <f t="shared" si="4"/>
        <v>1604976</v>
      </c>
      <c r="D50" s="1" t="str">
        <f t="shared" si="3"/>
        <v>MARIAMA MAECHA SOILIHI</v>
      </c>
      <c r="E50" s="26">
        <v>45727.489780439813</v>
      </c>
      <c r="F50" s="1" t="s">
        <v>268</v>
      </c>
      <c r="G50" s="1" t="s">
        <v>269</v>
      </c>
      <c r="H50" s="1" t="s">
        <v>195</v>
      </c>
      <c r="I50" s="1" t="s">
        <v>13</v>
      </c>
      <c r="J50" s="1" t="s">
        <v>11</v>
      </c>
      <c r="K50" s="32">
        <v>0</v>
      </c>
      <c r="L50" s="30">
        <v>0</v>
      </c>
      <c r="M50" s="18" t="s">
        <v>270</v>
      </c>
    </row>
    <row r="51" spans="1:13" s="1" customFormat="1">
      <c r="A51" s="1" t="str">
        <f t="shared" si="5"/>
        <v>13:29</v>
      </c>
      <c r="B51" s="3">
        <f t="shared" si="6"/>
        <v>45727</v>
      </c>
      <c r="C51" s="18" t="str">
        <f t="shared" si="4"/>
        <v>1560288</v>
      </c>
      <c r="D51" s="1" t="str">
        <f t="shared" si="3"/>
        <v>RAHAJALISOA RASOLONDRAIBE</v>
      </c>
      <c r="E51" s="26">
        <v>45727.562352893518</v>
      </c>
      <c r="F51" s="1" t="s">
        <v>219</v>
      </c>
      <c r="G51" s="1" t="s">
        <v>201</v>
      </c>
      <c r="H51" s="1" t="s">
        <v>192</v>
      </c>
      <c r="I51" s="1" t="s">
        <v>13</v>
      </c>
      <c r="J51" s="1" t="s">
        <v>14</v>
      </c>
      <c r="K51" s="32">
        <v>45728</v>
      </c>
      <c r="L51" s="30">
        <v>0.41666666666666702</v>
      </c>
      <c r="M51" s="1" t="s">
        <v>271</v>
      </c>
    </row>
    <row r="52" spans="1:13" s="1" customFormat="1">
      <c r="A52" s="1" t="str">
        <f>IF(E52&lt;&gt;"",TEXT(E52, "hh:mm"),"-")</f>
        <v>13:52</v>
      </c>
      <c r="B52" s="3">
        <f>IF(E52&lt;&gt;"",DATE(YEAR(E52),MONTH(E52), DAY(E52)),"-")</f>
        <v>45727</v>
      </c>
      <c r="C52" s="18" t="str">
        <f>IF(F52&lt;&gt;"", LEFT(RIGHT(F52, LEN(F52) - FIND("N°", F52) - 1), FIND(" ", RIGHT(F52, LEN(F52) - FIND("N°", F52) - 1) &amp; " ") - 1), "-")</f>
        <v>1637269</v>
      </c>
      <c r="D52" s="1" t="str">
        <f>IF(F52&lt;&gt;"",RIGHT(F52, LEN(F52) - FIND(" - ", F52) - 2),"")</f>
        <v>Serge COULON</v>
      </c>
      <c r="E52" s="26">
        <v>45727.578121643521</v>
      </c>
      <c r="F52" s="1" t="s">
        <v>208</v>
      </c>
      <c r="G52" s="1" t="s">
        <v>210</v>
      </c>
      <c r="H52" s="1" t="s">
        <v>195</v>
      </c>
      <c r="I52" s="1" t="s">
        <v>13</v>
      </c>
      <c r="J52" s="1" t="s">
        <v>14</v>
      </c>
      <c r="K52" s="32">
        <v>45736</v>
      </c>
      <c r="L52" s="30">
        <v>0.41666666666666702</v>
      </c>
      <c r="M52" s="1" t="s">
        <v>272</v>
      </c>
    </row>
    <row r="53" spans="1:13" s="1" customFormat="1" ht="71.25">
      <c r="A53" s="1" t="str">
        <f t="shared" si="5"/>
        <v>14:24</v>
      </c>
      <c r="B53" s="3">
        <f t="shared" si="6"/>
        <v>45727</v>
      </c>
      <c r="C53" s="18" t="str">
        <f t="shared" si="4"/>
        <v>575358</v>
      </c>
      <c r="D53" s="1" t="str">
        <f t="shared" si="3"/>
        <v>Catherine EVRARD</v>
      </c>
      <c r="E53" s="26">
        <v>45727.600586342596</v>
      </c>
      <c r="F53" s="1" t="s">
        <v>273</v>
      </c>
      <c r="G53" s="1" t="s">
        <v>210</v>
      </c>
      <c r="H53" s="1" t="s">
        <v>192</v>
      </c>
      <c r="I53" s="1" t="s">
        <v>13</v>
      </c>
      <c r="J53" s="1" t="s">
        <v>14</v>
      </c>
      <c r="K53" s="32">
        <v>45734</v>
      </c>
      <c r="L53" s="30">
        <v>0.375</v>
      </c>
      <c r="M53" s="100" t="s">
        <v>274</v>
      </c>
    </row>
    <row r="54" spans="1:13" s="1" customFormat="1">
      <c r="A54" s="1" t="str">
        <f t="shared" si="5"/>
        <v>-</v>
      </c>
      <c r="B54" s="3" t="str">
        <f t="shared" si="6"/>
        <v>-</v>
      </c>
      <c r="C54" s="18" t="str">
        <f t="shared" si="4"/>
        <v>-</v>
      </c>
      <c r="D54" s="1" t="str">
        <f t="shared" si="3"/>
        <v/>
      </c>
      <c r="E54" s="26"/>
      <c r="K54" s="32"/>
      <c r="L54" s="30"/>
    </row>
    <row r="55" spans="1:13" s="1" customFormat="1">
      <c r="A55" s="1" t="str">
        <f t="shared" si="5"/>
        <v>-</v>
      </c>
      <c r="B55" s="3" t="str">
        <f t="shared" si="6"/>
        <v>-</v>
      </c>
      <c r="C55" s="18" t="str">
        <f t="shared" si="4"/>
        <v>-</v>
      </c>
      <c r="D55" s="1" t="str">
        <f t="shared" si="3"/>
        <v/>
      </c>
      <c r="E55" s="26"/>
      <c r="K55" s="32"/>
      <c r="L55" s="30"/>
    </row>
    <row r="56" spans="1:13" s="1" customFormat="1">
      <c r="A56" s="1" t="str">
        <f t="shared" si="5"/>
        <v>-</v>
      </c>
      <c r="B56" s="3" t="str">
        <f t="shared" si="6"/>
        <v>-</v>
      </c>
      <c r="C56" s="18" t="str">
        <f t="shared" si="4"/>
        <v>-</v>
      </c>
      <c r="D56" s="1" t="str">
        <f t="shared" si="3"/>
        <v/>
      </c>
      <c r="E56" s="26"/>
      <c r="K56" s="32"/>
      <c r="L56" s="30"/>
    </row>
    <row r="57" spans="1:13" s="1" customFormat="1">
      <c r="A57" s="1" t="str">
        <f t="shared" si="5"/>
        <v>-</v>
      </c>
      <c r="B57" s="3" t="str">
        <f t="shared" si="6"/>
        <v>-</v>
      </c>
      <c r="C57" s="18" t="str">
        <f t="shared" si="4"/>
        <v>-</v>
      </c>
      <c r="D57" s="1" t="str">
        <f t="shared" si="3"/>
        <v/>
      </c>
      <c r="E57" s="26"/>
      <c r="K57" s="32"/>
      <c r="L57" s="30"/>
    </row>
    <row r="58" spans="1:13" s="1" customFormat="1">
      <c r="A58" s="1" t="str">
        <f t="shared" si="5"/>
        <v>-</v>
      </c>
      <c r="B58" s="3" t="str">
        <f t="shared" si="6"/>
        <v>-</v>
      </c>
      <c r="C58" s="18" t="str">
        <f t="shared" si="4"/>
        <v>-</v>
      </c>
      <c r="D58" s="1" t="str">
        <f t="shared" si="3"/>
        <v/>
      </c>
      <c r="E58" s="26"/>
      <c r="K58" s="32"/>
      <c r="L58" s="30"/>
    </row>
    <row r="59" spans="1:13" s="1" customFormat="1">
      <c r="A59" s="1" t="str">
        <f t="shared" si="5"/>
        <v>-</v>
      </c>
      <c r="B59" s="3" t="str">
        <f t="shared" si="6"/>
        <v>-</v>
      </c>
      <c r="C59" s="18" t="str">
        <f t="shared" si="4"/>
        <v>-</v>
      </c>
      <c r="D59" s="1" t="str">
        <f t="shared" si="3"/>
        <v/>
      </c>
      <c r="E59" s="26"/>
      <c r="K59" s="32"/>
      <c r="L59" s="30"/>
    </row>
    <row r="60" spans="1:13" s="1" customFormat="1">
      <c r="A60" s="1" t="str">
        <f t="shared" si="5"/>
        <v>-</v>
      </c>
      <c r="B60" s="3" t="str">
        <f t="shared" si="6"/>
        <v>-</v>
      </c>
      <c r="C60" s="18" t="str">
        <f t="shared" si="4"/>
        <v>-</v>
      </c>
      <c r="D60" s="1" t="str">
        <f t="shared" si="3"/>
        <v/>
      </c>
      <c r="E60" s="26"/>
      <c r="K60" s="32"/>
      <c r="L60" s="30"/>
    </row>
    <row r="61" spans="1:13" s="1" customFormat="1">
      <c r="A61" s="1" t="str">
        <f t="shared" si="5"/>
        <v>-</v>
      </c>
      <c r="B61" s="3" t="str">
        <f t="shared" si="6"/>
        <v>-</v>
      </c>
      <c r="C61" s="18" t="str">
        <f t="shared" si="4"/>
        <v>-</v>
      </c>
      <c r="D61" s="1" t="str">
        <f t="shared" si="3"/>
        <v/>
      </c>
      <c r="E61" s="26"/>
      <c r="K61" s="32"/>
      <c r="L61" s="30"/>
    </row>
    <row r="62" spans="1:13" s="1" customFormat="1">
      <c r="A62" s="1" t="str">
        <f t="shared" si="5"/>
        <v>-</v>
      </c>
      <c r="B62" s="3" t="str">
        <f t="shared" si="6"/>
        <v>-</v>
      </c>
      <c r="C62" s="18" t="str">
        <f t="shared" si="4"/>
        <v>-</v>
      </c>
      <c r="D62" s="1" t="str">
        <f t="shared" si="3"/>
        <v/>
      </c>
      <c r="E62" s="26"/>
      <c r="K62" s="32"/>
      <c r="L62" s="30"/>
    </row>
    <row r="63" spans="1:13" s="1" customFormat="1">
      <c r="A63" s="1" t="str">
        <f t="shared" si="5"/>
        <v>-</v>
      </c>
      <c r="B63" s="3" t="str">
        <f t="shared" si="6"/>
        <v>-</v>
      </c>
      <c r="C63" s="18" t="str">
        <f t="shared" si="4"/>
        <v>-</v>
      </c>
      <c r="D63" s="1" t="str">
        <f t="shared" si="3"/>
        <v/>
      </c>
      <c r="E63" s="26"/>
      <c r="K63" s="32"/>
      <c r="L63" s="30"/>
    </row>
    <row r="64" spans="1:13" s="1" customFormat="1">
      <c r="A64" s="1" t="str">
        <f t="shared" si="5"/>
        <v>-</v>
      </c>
      <c r="B64" s="3" t="str">
        <f t="shared" si="6"/>
        <v>-</v>
      </c>
      <c r="C64" s="18" t="str">
        <f t="shared" si="4"/>
        <v>-</v>
      </c>
      <c r="D64" s="1" t="str">
        <f t="shared" si="3"/>
        <v/>
      </c>
      <c r="E64" s="26"/>
      <c r="K64" s="32"/>
      <c r="L64" s="30"/>
    </row>
    <row r="65" spans="1:12" s="1" customFormat="1">
      <c r="A65" s="1" t="str">
        <f t="shared" si="5"/>
        <v>-</v>
      </c>
      <c r="B65" s="3" t="str">
        <f t="shared" si="6"/>
        <v>-</v>
      </c>
      <c r="C65" s="18" t="str">
        <f t="shared" si="4"/>
        <v>-</v>
      </c>
      <c r="D65" s="1" t="str">
        <f t="shared" si="3"/>
        <v/>
      </c>
      <c r="E65" s="26"/>
      <c r="K65" s="32"/>
      <c r="L65" s="30"/>
    </row>
    <row r="66" spans="1:12" s="1" customFormat="1">
      <c r="A66" s="1" t="str">
        <f t="shared" si="5"/>
        <v>-</v>
      </c>
      <c r="B66" s="3" t="str">
        <f t="shared" si="6"/>
        <v>-</v>
      </c>
      <c r="C66" s="18" t="str">
        <f t="shared" si="4"/>
        <v>-</v>
      </c>
      <c r="D66" s="1" t="str">
        <f t="shared" si="3"/>
        <v/>
      </c>
      <c r="E66" s="26"/>
      <c r="K66" s="32"/>
      <c r="L66" s="30"/>
    </row>
    <row r="67" spans="1:12" s="1" customFormat="1">
      <c r="A67" s="1" t="str">
        <f t="shared" si="5"/>
        <v>-</v>
      </c>
      <c r="B67" s="3" t="str">
        <f t="shared" si="6"/>
        <v>-</v>
      </c>
      <c r="C67" s="18" t="str">
        <f t="shared" si="4"/>
        <v>-</v>
      </c>
      <c r="D67" s="1" t="str">
        <f t="shared" si="3"/>
        <v/>
      </c>
      <c r="E67" s="26"/>
      <c r="K67" s="32"/>
      <c r="L67" s="30"/>
    </row>
    <row r="68" spans="1:12" s="1" customFormat="1">
      <c r="A68" s="1" t="str">
        <f t="shared" si="5"/>
        <v>-</v>
      </c>
      <c r="B68" s="3" t="str">
        <f t="shared" si="6"/>
        <v>-</v>
      </c>
      <c r="C68" s="18" t="str">
        <f t="shared" si="4"/>
        <v>-</v>
      </c>
      <c r="D68" s="1" t="str">
        <f t="shared" si="3"/>
        <v/>
      </c>
      <c r="E68" s="26"/>
      <c r="K68" s="32"/>
      <c r="L68" s="30"/>
    </row>
    <row r="69" spans="1:12" s="1" customFormat="1">
      <c r="A69" s="1" t="str">
        <f t="shared" si="5"/>
        <v>-</v>
      </c>
      <c r="B69" s="3" t="str">
        <f t="shared" si="6"/>
        <v>-</v>
      </c>
      <c r="C69" s="18" t="str">
        <f t="shared" si="4"/>
        <v>-</v>
      </c>
      <c r="D69" s="1" t="str">
        <f t="shared" si="3"/>
        <v/>
      </c>
      <c r="E69" s="26"/>
      <c r="K69" s="32"/>
      <c r="L69" s="30"/>
    </row>
    <row r="70" spans="1:12" s="1" customFormat="1">
      <c r="A70" s="1" t="str">
        <f t="shared" si="5"/>
        <v>-</v>
      </c>
      <c r="B70" s="3" t="str">
        <f t="shared" si="6"/>
        <v>-</v>
      </c>
      <c r="C70" s="18" t="str">
        <f t="shared" si="4"/>
        <v>-</v>
      </c>
      <c r="D70" s="1" t="str">
        <f t="shared" si="3"/>
        <v/>
      </c>
      <c r="E70" s="26"/>
      <c r="K70" s="32"/>
      <c r="L70" s="30"/>
    </row>
    <row r="71" spans="1:12" s="1" customFormat="1">
      <c r="A71" s="1" t="str">
        <f t="shared" si="5"/>
        <v>-</v>
      </c>
      <c r="B71" s="3" t="str">
        <f t="shared" si="6"/>
        <v>-</v>
      </c>
      <c r="C71" s="18" t="str">
        <f t="shared" si="4"/>
        <v>-</v>
      </c>
      <c r="D71" s="1" t="str">
        <f t="shared" si="3"/>
        <v/>
      </c>
      <c r="E71" s="26"/>
      <c r="K71" s="32"/>
      <c r="L71" s="30"/>
    </row>
    <row r="72" spans="1:12" s="1" customFormat="1">
      <c r="A72" s="1" t="str">
        <f t="shared" si="5"/>
        <v>-</v>
      </c>
      <c r="B72" s="3" t="str">
        <f t="shared" si="6"/>
        <v>-</v>
      </c>
      <c r="C72" s="18" t="str">
        <f t="shared" si="4"/>
        <v>-</v>
      </c>
      <c r="D72" s="1" t="str">
        <f t="shared" ref="D72:D135" si="7">IF(F72&lt;&gt;"",RIGHT(F72, LEN(F72) - FIND(" - ", F72) - 2),"")</f>
        <v/>
      </c>
      <c r="E72" s="26"/>
      <c r="K72" s="32"/>
      <c r="L72" s="30"/>
    </row>
    <row r="73" spans="1:12" s="1" customFormat="1">
      <c r="A73" s="1" t="str">
        <f t="shared" si="5"/>
        <v>-</v>
      </c>
      <c r="B73" s="3" t="str">
        <f t="shared" si="6"/>
        <v>-</v>
      </c>
      <c r="C73" s="18" t="str">
        <f t="shared" si="4"/>
        <v>-</v>
      </c>
      <c r="D73" s="1" t="str">
        <f t="shared" si="7"/>
        <v/>
      </c>
      <c r="E73" s="26"/>
      <c r="K73" s="32"/>
      <c r="L73" s="30"/>
    </row>
    <row r="74" spans="1:12" s="1" customFormat="1">
      <c r="A74" s="1" t="str">
        <f t="shared" si="5"/>
        <v>-</v>
      </c>
      <c r="B74" s="3" t="str">
        <f t="shared" si="6"/>
        <v>-</v>
      </c>
      <c r="C74" s="18" t="str">
        <f t="shared" si="4"/>
        <v>-</v>
      </c>
      <c r="D74" s="1" t="str">
        <f t="shared" si="7"/>
        <v/>
      </c>
      <c r="E74" s="26"/>
      <c r="K74" s="32"/>
      <c r="L74" s="30"/>
    </row>
    <row r="75" spans="1:12" s="1" customFormat="1">
      <c r="A75" s="1" t="str">
        <f t="shared" si="5"/>
        <v>-</v>
      </c>
      <c r="B75" s="3" t="str">
        <f t="shared" si="6"/>
        <v>-</v>
      </c>
      <c r="C75" s="18" t="str">
        <f t="shared" si="4"/>
        <v>-</v>
      </c>
      <c r="D75" s="1" t="str">
        <f t="shared" si="7"/>
        <v/>
      </c>
      <c r="E75" s="26"/>
      <c r="K75" s="32"/>
      <c r="L75" s="30"/>
    </row>
    <row r="76" spans="1:12" s="1" customFormat="1">
      <c r="A76" s="1" t="str">
        <f t="shared" si="5"/>
        <v>-</v>
      </c>
      <c r="B76" s="3" t="str">
        <f t="shared" si="6"/>
        <v>-</v>
      </c>
      <c r="C76" s="18" t="str">
        <f t="shared" si="4"/>
        <v>-</v>
      </c>
      <c r="D76" s="1" t="str">
        <f t="shared" si="7"/>
        <v/>
      </c>
      <c r="E76" s="26"/>
      <c r="K76" s="32"/>
      <c r="L76" s="30"/>
    </row>
    <row r="77" spans="1:12" s="1" customFormat="1">
      <c r="A77" s="1" t="str">
        <f t="shared" si="5"/>
        <v>-</v>
      </c>
      <c r="B77" s="3" t="str">
        <f t="shared" si="6"/>
        <v>-</v>
      </c>
      <c r="C77" s="18" t="str">
        <f t="shared" si="4"/>
        <v>-</v>
      </c>
      <c r="D77" s="1" t="str">
        <f t="shared" si="7"/>
        <v/>
      </c>
      <c r="E77" s="26"/>
      <c r="K77" s="32"/>
      <c r="L77" s="30"/>
    </row>
    <row r="78" spans="1:12" s="1" customFormat="1">
      <c r="A78" s="1" t="str">
        <f t="shared" si="5"/>
        <v>-</v>
      </c>
      <c r="B78" s="3" t="str">
        <f t="shared" si="6"/>
        <v>-</v>
      </c>
      <c r="C78" s="18" t="str">
        <f t="shared" si="4"/>
        <v>-</v>
      </c>
      <c r="D78" s="1" t="str">
        <f t="shared" si="7"/>
        <v/>
      </c>
      <c r="E78" s="26"/>
      <c r="K78" s="32"/>
      <c r="L78" s="30"/>
    </row>
    <row r="79" spans="1:12" s="1" customFormat="1">
      <c r="A79" s="1" t="str">
        <f t="shared" si="5"/>
        <v>-</v>
      </c>
      <c r="B79" s="3" t="str">
        <f t="shared" si="6"/>
        <v>-</v>
      </c>
      <c r="C79" s="18" t="str">
        <f t="shared" si="4"/>
        <v>-</v>
      </c>
      <c r="D79" s="1" t="str">
        <f t="shared" si="7"/>
        <v/>
      </c>
      <c r="E79" s="26"/>
      <c r="K79" s="32"/>
      <c r="L79" s="30"/>
    </row>
    <row r="80" spans="1:12" s="1" customFormat="1">
      <c r="A80" s="1" t="str">
        <f t="shared" si="5"/>
        <v>-</v>
      </c>
      <c r="B80" s="3" t="str">
        <f t="shared" si="6"/>
        <v>-</v>
      </c>
      <c r="C80" s="18" t="str">
        <f t="shared" si="4"/>
        <v>-</v>
      </c>
      <c r="D80" s="1" t="str">
        <f t="shared" si="7"/>
        <v/>
      </c>
      <c r="E80" s="26"/>
      <c r="K80" s="32"/>
      <c r="L80" s="30"/>
    </row>
    <row r="81" spans="1:12" s="1" customFormat="1">
      <c r="A81" s="1" t="str">
        <f t="shared" si="5"/>
        <v>-</v>
      </c>
      <c r="B81" s="3" t="str">
        <f t="shared" si="6"/>
        <v>-</v>
      </c>
      <c r="C81" s="18" t="str">
        <f t="shared" ref="C81:C144" si="8">IF(F81&lt;&gt;"", LEFT(RIGHT(F81, LEN(F81) - FIND("N°", F81) - 1), FIND(" ", RIGHT(F81, LEN(F81) - FIND("N°", F81) - 1) &amp; " ") - 1), "-")</f>
        <v>-</v>
      </c>
      <c r="D81" s="1" t="str">
        <f t="shared" si="7"/>
        <v/>
      </c>
      <c r="E81" s="26"/>
      <c r="K81" s="32"/>
      <c r="L81" s="30"/>
    </row>
    <row r="82" spans="1:12" s="1" customFormat="1">
      <c r="A82" s="1" t="str">
        <f t="shared" si="5"/>
        <v>-</v>
      </c>
      <c r="B82" s="3" t="str">
        <f t="shared" si="6"/>
        <v>-</v>
      </c>
      <c r="C82" s="18" t="str">
        <f t="shared" si="8"/>
        <v>-</v>
      </c>
      <c r="D82" s="1" t="str">
        <f t="shared" si="7"/>
        <v/>
      </c>
      <c r="E82" s="26"/>
      <c r="K82" s="32"/>
      <c r="L82" s="30"/>
    </row>
    <row r="83" spans="1:12" s="1" customFormat="1">
      <c r="A83" s="1" t="str">
        <f t="shared" si="5"/>
        <v>-</v>
      </c>
      <c r="B83" s="3" t="str">
        <f t="shared" si="6"/>
        <v>-</v>
      </c>
      <c r="C83" s="18" t="str">
        <f t="shared" si="8"/>
        <v>-</v>
      </c>
      <c r="D83" s="1" t="str">
        <f t="shared" si="7"/>
        <v/>
      </c>
      <c r="E83" s="26"/>
      <c r="K83" s="32"/>
      <c r="L83" s="30"/>
    </row>
    <row r="84" spans="1:12" s="1" customFormat="1">
      <c r="A84" s="1" t="str">
        <f t="shared" si="5"/>
        <v>-</v>
      </c>
      <c r="B84" s="3" t="str">
        <f t="shared" si="6"/>
        <v>-</v>
      </c>
      <c r="C84" s="18" t="str">
        <f t="shared" si="8"/>
        <v>-</v>
      </c>
      <c r="D84" s="1" t="str">
        <f t="shared" si="7"/>
        <v/>
      </c>
      <c r="E84" s="26"/>
      <c r="K84" s="32"/>
      <c r="L84" s="30"/>
    </row>
    <row r="85" spans="1:12" s="1" customFormat="1">
      <c r="A85" s="1" t="str">
        <f t="shared" ref="A85:A148" si="9">IF(E85&lt;&gt;"",TEXT(E85, "hh:mm"),"-")</f>
        <v>-</v>
      </c>
      <c r="B85" s="3" t="str">
        <f t="shared" ref="B85:B148" si="10">IF(E85&lt;&gt;"",DATE(YEAR(E85),MONTH(E85), DAY(E85)),"-")</f>
        <v>-</v>
      </c>
      <c r="C85" s="18" t="str">
        <f t="shared" si="8"/>
        <v>-</v>
      </c>
      <c r="D85" s="1" t="str">
        <f t="shared" si="7"/>
        <v/>
      </c>
      <c r="E85" s="26"/>
      <c r="K85" s="32"/>
      <c r="L85" s="30"/>
    </row>
    <row r="86" spans="1:12" s="1" customFormat="1">
      <c r="A86" s="1" t="str">
        <f t="shared" si="9"/>
        <v>-</v>
      </c>
      <c r="B86" s="3" t="str">
        <f t="shared" si="10"/>
        <v>-</v>
      </c>
      <c r="C86" s="18" t="str">
        <f t="shared" si="8"/>
        <v>-</v>
      </c>
      <c r="D86" s="1" t="str">
        <f t="shared" si="7"/>
        <v/>
      </c>
      <c r="E86" s="26"/>
      <c r="K86" s="32"/>
      <c r="L86" s="30"/>
    </row>
    <row r="87" spans="1:12" s="1" customFormat="1">
      <c r="A87" s="1" t="str">
        <f t="shared" si="9"/>
        <v>-</v>
      </c>
      <c r="B87" s="3" t="str">
        <f t="shared" si="10"/>
        <v>-</v>
      </c>
      <c r="C87" s="18" t="str">
        <f t="shared" si="8"/>
        <v>-</v>
      </c>
      <c r="D87" s="1" t="str">
        <f t="shared" si="7"/>
        <v/>
      </c>
      <c r="E87" s="26"/>
      <c r="K87" s="32"/>
      <c r="L87" s="30"/>
    </row>
    <row r="88" spans="1:12" s="1" customFormat="1">
      <c r="A88" s="1" t="str">
        <f t="shared" si="9"/>
        <v>-</v>
      </c>
      <c r="B88" s="3" t="str">
        <f t="shared" si="10"/>
        <v>-</v>
      </c>
      <c r="C88" s="18" t="str">
        <f t="shared" si="8"/>
        <v>-</v>
      </c>
      <c r="D88" s="1" t="str">
        <f t="shared" si="7"/>
        <v/>
      </c>
      <c r="E88" s="26"/>
      <c r="K88" s="32"/>
      <c r="L88" s="30"/>
    </row>
    <row r="89" spans="1:12" s="1" customFormat="1">
      <c r="A89" s="1" t="str">
        <f t="shared" si="9"/>
        <v>-</v>
      </c>
      <c r="B89" s="3" t="str">
        <f t="shared" si="10"/>
        <v>-</v>
      </c>
      <c r="C89" s="18" t="str">
        <f t="shared" si="8"/>
        <v>-</v>
      </c>
      <c r="D89" s="1" t="str">
        <f t="shared" si="7"/>
        <v/>
      </c>
      <c r="E89" s="26"/>
      <c r="K89" s="32"/>
      <c r="L89" s="30"/>
    </row>
    <row r="90" spans="1:12" s="1" customFormat="1">
      <c r="A90" s="1" t="str">
        <f t="shared" si="9"/>
        <v>-</v>
      </c>
      <c r="B90" s="3" t="str">
        <f t="shared" si="10"/>
        <v>-</v>
      </c>
      <c r="C90" s="18" t="str">
        <f t="shared" si="8"/>
        <v>-</v>
      </c>
      <c r="D90" s="1" t="str">
        <f t="shared" si="7"/>
        <v/>
      </c>
      <c r="E90" s="26"/>
      <c r="K90" s="32"/>
      <c r="L90" s="30"/>
    </row>
    <row r="91" spans="1:12" s="1" customFormat="1">
      <c r="A91" s="1" t="str">
        <f t="shared" si="9"/>
        <v>-</v>
      </c>
      <c r="B91" s="3" t="str">
        <f t="shared" si="10"/>
        <v>-</v>
      </c>
      <c r="C91" s="18" t="str">
        <f t="shared" si="8"/>
        <v>-</v>
      </c>
      <c r="D91" s="1" t="str">
        <f t="shared" si="7"/>
        <v/>
      </c>
      <c r="E91" s="26"/>
      <c r="K91" s="32"/>
      <c r="L91" s="30"/>
    </row>
    <row r="92" spans="1:12" s="1" customFormat="1">
      <c r="A92" s="1" t="str">
        <f t="shared" si="9"/>
        <v>-</v>
      </c>
      <c r="B92" s="3" t="str">
        <f t="shared" si="10"/>
        <v>-</v>
      </c>
      <c r="C92" s="18" t="str">
        <f t="shared" si="8"/>
        <v>-</v>
      </c>
      <c r="D92" s="1" t="str">
        <f t="shared" si="7"/>
        <v/>
      </c>
      <c r="E92" s="26"/>
      <c r="K92" s="32"/>
      <c r="L92" s="30"/>
    </row>
    <row r="93" spans="1:12" s="1" customFormat="1">
      <c r="A93" s="1" t="str">
        <f t="shared" si="9"/>
        <v>-</v>
      </c>
      <c r="B93" s="3" t="str">
        <f t="shared" si="10"/>
        <v>-</v>
      </c>
      <c r="C93" s="18" t="str">
        <f t="shared" si="8"/>
        <v>-</v>
      </c>
      <c r="D93" s="1" t="str">
        <f t="shared" si="7"/>
        <v/>
      </c>
      <c r="E93" s="26"/>
      <c r="K93" s="32"/>
      <c r="L93" s="30"/>
    </row>
    <row r="94" spans="1:12" s="1" customFormat="1">
      <c r="A94" s="1" t="str">
        <f t="shared" si="9"/>
        <v>-</v>
      </c>
      <c r="B94" s="3" t="str">
        <f t="shared" si="10"/>
        <v>-</v>
      </c>
      <c r="C94" s="18" t="str">
        <f t="shared" si="8"/>
        <v>-</v>
      </c>
      <c r="D94" s="1" t="str">
        <f t="shared" si="7"/>
        <v/>
      </c>
      <c r="E94" s="26"/>
      <c r="K94" s="32"/>
      <c r="L94" s="30"/>
    </row>
    <row r="95" spans="1:12" s="1" customFormat="1">
      <c r="A95" s="1" t="str">
        <f t="shared" si="9"/>
        <v>-</v>
      </c>
      <c r="B95" s="3" t="str">
        <f t="shared" si="10"/>
        <v>-</v>
      </c>
      <c r="C95" s="18" t="str">
        <f t="shared" si="8"/>
        <v>-</v>
      </c>
      <c r="D95" s="1" t="str">
        <f t="shared" si="7"/>
        <v/>
      </c>
      <c r="E95" s="26"/>
      <c r="K95" s="32"/>
      <c r="L95" s="30"/>
    </row>
    <row r="96" spans="1:12" s="1" customFormat="1">
      <c r="A96" s="1" t="str">
        <f t="shared" si="9"/>
        <v>-</v>
      </c>
      <c r="B96" s="3" t="str">
        <f t="shared" si="10"/>
        <v>-</v>
      </c>
      <c r="C96" s="18" t="str">
        <f t="shared" si="8"/>
        <v>-</v>
      </c>
      <c r="D96" s="1" t="str">
        <f t="shared" si="7"/>
        <v/>
      </c>
      <c r="E96" s="26"/>
      <c r="K96" s="32"/>
      <c r="L96" s="30"/>
    </row>
    <row r="97" spans="1:12" s="1" customFormat="1">
      <c r="A97" s="1" t="str">
        <f t="shared" si="9"/>
        <v>-</v>
      </c>
      <c r="B97" s="3" t="str">
        <f t="shared" si="10"/>
        <v>-</v>
      </c>
      <c r="C97" s="18" t="str">
        <f t="shared" si="8"/>
        <v>-</v>
      </c>
      <c r="D97" s="1" t="str">
        <f t="shared" si="7"/>
        <v/>
      </c>
      <c r="E97" s="26"/>
      <c r="K97" s="32"/>
      <c r="L97" s="30"/>
    </row>
    <row r="98" spans="1:12" s="1" customFormat="1">
      <c r="A98" s="1" t="str">
        <f t="shared" si="9"/>
        <v>-</v>
      </c>
      <c r="B98" s="3" t="str">
        <f t="shared" si="10"/>
        <v>-</v>
      </c>
      <c r="C98" s="18" t="str">
        <f t="shared" si="8"/>
        <v>-</v>
      </c>
      <c r="D98" s="1" t="str">
        <f t="shared" si="7"/>
        <v/>
      </c>
      <c r="E98" s="26"/>
      <c r="K98" s="32"/>
      <c r="L98" s="30"/>
    </row>
    <row r="99" spans="1:12" s="1" customFormat="1">
      <c r="A99" s="1" t="str">
        <f t="shared" si="9"/>
        <v>-</v>
      </c>
      <c r="B99" s="3" t="str">
        <f t="shared" si="10"/>
        <v>-</v>
      </c>
      <c r="C99" s="18" t="str">
        <f t="shared" si="8"/>
        <v>-</v>
      </c>
      <c r="D99" s="1" t="str">
        <f t="shared" si="7"/>
        <v/>
      </c>
      <c r="E99" s="26"/>
      <c r="K99" s="32"/>
      <c r="L99" s="30"/>
    </row>
    <row r="100" spans="1:12" s="1" customFormat="1">
      <c r="A100" s="1" t="str">
        <f t="shared" si="9"/>
        <v>-</v>
      </c>
      <c r="B100" s="3" t="str">
        <f t="shared" si="10"/>
        <v>-</v>
      </c>
      <c r="C100" s="18" t="str">
        <f t="shared" si="8"/>
        <v>-</v>
      </c>
      <c r="D100" s="1" t="str">
        <f t="shared" si="7"/>
        <v/>
      </c>
      <c r="E100" s="26"/>
      <c r="K100" s="32"/>
      <c r="L100" s="30"/>
    </row>
    <row r="101" spans="1:12" s="1" customFormat="1">
      <c r="A101" s="1" t="str">
        <f t="shared" si="9"/>
        <v>-</v>
      </c>
      <c r="B101" s="3" t="str">
        <f t="shared" si="10"/>
        <v>-</v>
      </c>
      <c r="C101" s="18" t="str">
        <f t="shared" si="8"/>
        <v>-</v>
      </c>
      <c r="D101" s="1" t="str">
        <f t="shared" si="7"/>
        <v/>
      </c>
      <c r="E101" s="26"/>
      <c r="K101" s="32"/>
      <c r="L101" s="30"/>
    </row>
    <row r="102" spans="1:12" s="1" customFormat="1">
      <c r="A102" s="1" t="str">
        <f t="shared" si="9"/>
        <v>-</v>
      </c>
      <c r="B102" s="3" t="str">
        <f t="shared" si="10"/>
        <v>-</v>
      </c>
      <c r="C102" s="18" t="str">
        <f t="shared" si="8"/>
        <v>-</v>
      </c>
      <c r="D102" s="1" t="str">
        <f t="shared" si="7"/>
        <v/>
      </c>
      <c r="E102" s="26"/>
      <c r="K102" s="32"/>
      <c r="L102" s="30"/>
    </row>
    <row r="103" spans="1:12" s="1" customFormat="1">
      <c r="A103" s="1" t="str">
        <f t="shared" si="9"/>
        <v>-</v>
      </c>
      <c r="B103" s="3" t="str">
        <f t="shared" si="10"/>
        <v>-</v>
      </c>
      <c r="C103" s="18" t="str">
        <f t="shared" si="8"/>
        <v>-</v>
      </c>
      <c r="D103" s="1" t="str">
        <f t="shared" si="7"/>
        <v/>
      </c>
      <c r="E103" s="26"/>
      <c r="K103" s="32"/>
      <c r="L103" s="30"/>
    </row>
    <row r="104" spans="1:12" s="1" customFormat="1">
      <c r="A104" s="1" t="str">
        <f t="shared" si="9"/>
        <v>-</v>
      </c>
      <c r="B104" s="3" t="str">
        <f t="shared" si="10"/>
        <v>-</v>
      </c>
      <c r="C104" s="18" t="str">
        <f t="shared" si="8"/>
        <v>-</v>
      </c>
      <c r="D104" s="1" t="str">
        <f t="shared" si="7"/>
        <v/>
      </c>
      <c r="E104" s="26"/>
      <c r="K104" s="32"/>
      <c r="L104" s="30"/>
    </row>
    <row r="105" spans="1:12" s="1" customFormat="1">
      <c r="A105" s="1" t="str">
        <f t="shared" si="9"/>
        <v>-</v>
      </c>
      <c r="B105" s="3" t="str">
        <f t="shared" si="10"/>
        <v>-</v>
      </c>
      <c r="C105" s="18" t="str">
        <f t="shared" si="8"/>
        <v>-</v>
      </c>
      <c r="D105" s="1" t="str">
        <f t="shared" si="7"/>
        <v/>
      </c>
      <c r="E105" s="26"/>
      <c r="K105" s="32"/>
      <c r="L105" s="30"/>
    </row>
    <row r="106" spans="1:12" s="1" customFormat="1">
      <c r="A106" s="1" t="str">
        <f t="shared" si="9"/>
        <v>-</v>
      </c>
      <c r="B106" s="3" t="str">
        <f t="shared" si="10"/>
        <v>-</v>
      </c>
      <c r="C106" s="18" t="str">
        <f t="shared" si="8"/>
        <v>-</v>
      </c>
      <c r="D106" s="1" t="str">
        <f t="shared" si="7"/>
        <v/>
      </c>
      <c r="E106" s="26"/>
      <c r="K106" s="32"/>
      <c r="L106" s="30"/>
    </row>
    <row r="107" spans="1:12" s="1" customFormat="1">
      <c r="A107" s="1" t="str">
        <f t="shared" si="9"/>
        <v>-</v>
      </c>
      <c r="B107" s="3" t="str">
        <f t="shared" si="10"/>
        <v>-</v>
      </c>
      <c r="C107" s="18" t="str">
        <f t="shared" si="8"/>
        <v>-</v>
      </c>
      <c r="D107" s="1" t="str">
        <f t="shared" si="7"/>
        <v/>
      </c>
      <c r="E107" s="26"/>
      <c r="K107" s="32"/>
      <c r="L107" s="30"/>
    </row>
    <row r="108" spans="1:12" s="1" customFormat="1">
      <c r="A108" s="1" t="str">
        <f t="shared" si="9"/>
        <v>-</v>
      </c>
      <c r="B108" s="3" t="str">
        <f t="shared" si="10"/>
        <v>-</v>
      </c>
      <c r="C108" s="18" t="str">
        <f t="shared" si="8"/>
        <v>-</v>
      </c>
      <c r="D108" s="1" t="str">
        <f t="shared" si="7"/>
        <v/>
      </c>
      <c r="E108" s="26"/>
      <c r="K108" s="32"/>
      <c r="L108" s="30"/>
    </row>
    <row r="109" spans="1:12" s="1" customFormat="1">
      <c r="A109" s="1" t="str">
        <f t="shared" si="9"/>
        <v>-</v>
      </c>
      <c r="B109" s="3" t="str">
        <f t="shared" si="10"/>
        <v>-</v>
      </c>
      <c r="C109" s="18" t="str">
        <f t="shared" si="8"/>
        <v>-</v>
      </c>
      <c r="D109" s="1" t="str">
        <f t="shared" si="7"/>
        <v/>
      </c>
      <c r="E109" s="26"/>
      <c r="K109" s="32"/>
      <c r="L109" s="30"/>
    </row>
    <row r="110" spans="1:12" s="1" customFormat="1">
      <c r="A110" s="1" t="str">
        <f t="shared" si="9"/>
        <v>-</v>
      </c>
      <c r="B110" s="3" t="str">
        <f t="shared" si="10"/>
        <v>-</v>
      </c>
      <c r="C110" s="18" t="str">
        <f t="shared" si="8"/>
        <v>-</v>
      </c>
      <c r="D110" s="1" t="str">
        <f t="shared" si="7"/>
        <v/>
      </c>
      <c r="E110" s="26"/>
      <c r="K110" s="32"/>
      <c r="L110" s="30"/>
    </row>
    <row r="111" spans="1:12" s="1" customFormat="1">
      <c r="A111" s="1" t="str">
        <f t="shared" si="9"/>
        <v>-</v>
      </c>
      <c r="B111" s="3" t="str">
        <f t="shared" si="10"/>
        <v>-</v>
      </c>
      <c r="C111" s="18" t="str">
        <f t="shared" si="8"/>
        <v>-</v>
      </c>
      <c r="D111" s="1" t="str">
        <f t="shared" si="7"/>
        <v/>
      </c>
      <c r="E111" s="26"/>
      <c r="K111" s="32"/>
      <c r="L111" s="30"/>
    </row>
    <row r="112" spans="1:12" s="1" customFormat="1">
      <c r="A112" s="1" t="str">
        <f t="shared" si="9"/>
        <v>-</v>
      </c>
      <c r="B112" s="3" t="str">
        <f t="shared" si="10"/>
        <v>-</v>
      </c>
      <c r="C112" s="18" t="str">
        <f t="shared" si="8"/>
        <v>-</v>
      </c>
      <c r="D112" s="1" t="str">
        <f t="shared" si="7"/>
        <v/>
      </c>
      <c r="E112" s="26"/>
      <c r="K112" s="32"/>
      <c r="L112" s="30"/>
    </row>
    <row r="113" spans="1:12" s="1" customFormat="1">
      <c r="A113" s="1" t="str">
        <f t="shared" si="9"/>
        <v>-</v>
      </c>
      <c r="B113" s="3" t="str">
        <f t="shared" si="10"/>
        <v>-</v>
      </c>
      <c r="C113" s="18" t="str">
        <f t="shared" si="8"/>
        <v>-</v>
      </c>
      <c r="D113" s="1" t="str">
        <f t="shared" si="7"/>
        <v/>
      </c>
      <c r="E113" s="26"/>
      <c r="K113" s="32"/>
      <c r="L113" s="30"/>
    </row>
    <row r="114" spans="1:12" s="1" customFormat="1">
      <c r="A114" s="1" t="str">
        <f t="shared" si="9"/>
        <v>-</v>
      </c>
      <c r="B114" s="3" t="str">
        <f t="shared" si="10"/>
        <v>-</v>
      </c>
      <c r="C114" s="18" t="str">
        <f t="shared" si="8"/>
        <v>-</v>
      </c>
      <c r="D114" s="1" t="str">
        <f t="shared" si="7"/>
        <v/>
      </c>
      <c r="E114" s="26"/>
      <c r="K114" s="32"/>
      <c r="L114" s="30"/>
    </row>
    <row r="115" spans="1:12" s="1" customFormat="1">
      <c r="A115" s="1" t="str">
        <f t="shared" si="9"/>
        <v>-</v>
      </c>
      <c r="B115" s="3" t="str">
        <f t="shared" si="10"/>
        <v>-</v>
      </c>
      <c r="C115" s="18" t="str">
        <f t="shared" si="8"/>
        <v>-</v>
      </c>
      <c r="D115" s="1" t="str">
        <f t="shared" si="7"/>
        <v/>
      </c>
      <c r="E115" s="26"/>
      <c r="K115" s="32"/>
      <c r="L115" s="30"/>
    </row>
    <row r="116" spans="1:12" s="1" customFormat="1">
      <c r="A116" s="1" t="str">
        <f t="shared" si="9"/>
        <v>-</v>
      </c>
      <c r="B116" s="3" t="str">
        <f t="shared" si="10"/>
        <v>-</v>
      </c>
      <c r="C116" s="18" t="str">
        <f t="shared" si="8"/>
        <v>-</v>
      </c>
      <c r="D116" s="1" t="str">
        <f t="shared" si="7"/>
        <v/>
      </c>
      <c r="E116" s="26"/>
      <c r="K116" s="32"/>
      <c r="L116" s="30"/>
    </row>
    <row r="117" spans="1:12" s="1" customFormat="1">
      <c r="A117" s="1" t="str">
        <f t="shared" si="9"/>
        <v>-</v>
      </c>
      <c r="B117" s="3" t="str">
        <f t="shared" si="10"/>
        <v>-</v>
      </c>
      <c r="C117" s="18" t="str">
        <f t="shared" si="8"/>
        <v>-</v>
      </c>
      <c r="D117" s="1" t="str">
        <f t="shared" si="7"/>
        <v/>
      </c>
      <c r="E117" s="26"/>
      <c r="K117" s="32"/>
      <c r="L117" s="30"/>
    </row>
    <row r="118" spans="1:12" s="1" customFormat="1">
      <c r="A118" s="1" t="str">
        <f t="shared" si="9"/>
        <v>-</v>
      </c>
      <c r="B118" s="3" t="str">
        <f t="shared" si="10"/>
        <v>-</v>
      </c>
      <c r="C118" s="18" t="str">
        <f t="shared" si="8"/>
        <v>-</v>
      </c>
      <c r="D118" s="1" t="str">
        <f t="shared" si="7"/>
        <v/>
      </c>
      <c r="E118" s="26"/>
      <c r="K118" s="32"/>
      <c r="L118" s="30"/>
    </row>
    <row r="119" spans="1:12" s="1" customFormat="1">
      <c r="A119" s="1" t="str">
        <f t="shared" si="9"/>
        <v>-</v>
      </c>
      <c r="B119" s="3" t="str">
        <f t="shared" si="10"/>
        <v>-</v>
      </c>
      <c r="C119" s="18" t="str">
        <f t="shared" si="8"/>
        <v>-</v>
      </c>
      <c r="D119" s="1" t="str">
        <f t="shared" si="7"/>
        <v/>
      </c>
      <c r="E119" s="26"/>
      <c r="K119" s="32"/>
      <c r="L119" s="30"/>
    </row>
    <row r="120" spans="1:12" s="1" customFormat="1">
      <c r="A120" s="1" t="str">
        <f t="shared" si="9"/>
        <v>-</v>
      </c>
      <c r="B120" s="3" t="str">
        <f t="shared" si="10"/>
        <v>-</v>
      </c>
      <c r="C120" s="18" t="str">
        <f t="shared" si="8"/>
        <v>-</v>
      </c>
      <c r="D120" s="1" t="str">
        <f t="shared" si="7"/>
        <v/>
      </c>
      <c r="E120" s="26"/>
      <c r="K120" s="32"/>
      <c r="L120" s="30"/>
    </row>
    <row r="121" spans="1:12" s="1" customFormat="1">
      <c r="A121" s="1" t="str">
        <f t="shared" si="9"/>
        <v>-</v>
      </c>
      <c r="B121" s="3" t="str">
        <f t="shared" si="10"/>
        <v>-</v>
      </c>
      <c r="C121" s="18" t="str">
        <f t="shared" si="8"/>
        <v>-</v>
      </c>
      <c r="D121" s="1" t="str">
        <f t="shared" si="7"/>
        <v/>
      </c>
      <c r="E121" s="26"/>
      <c r="K121" s="32"/>
      <c r="L121" s="30"/>
    </row>
    <row r="122" spans="1:12" s="1" customFormat="1">
      <c r="A122" s="1" t="str">
        <f t="shared" si="9"/>
        <v>-</v>
      </c>
      <c r="B122" s="3" t="str">
        <f t="shared" si="10"/>
        <v>-</v>
      </c>
      <c r="C122" s="18" t="str">
        <f t="shared" si="8"/>
        <v>-</v>
      </c>
      <c r="D122" s="1" t="str">
        <f t="shared" si="7"/>
        <v/>
      </c>
      <c r="E122" s="26"/>
      <c r="K122" s="32"/>
      <c r="L122" s="30"/>
    </row>
    <row r="123" spans="1:12" s="1" customFormat="1">
      <c r="A123" s="1" t="str">
        <f t="shared" si="9"/>
        <v>-</v>
      </c>
      <c r="B123" s="3" t="str">
        <f t="shared" si="10"/>
        <v>-</v>
      </c>
      <c r="C123" s="18" t="str">
        <f t="shared" si="8"/>
        <v>-</v>
      </c>
      <c r="D123" s="1" t="str">
        <f t="shared" si="7"/>
        <v/>
      </c>
      <c r="E123" s="26"/>
      <c r="K123" s="32"/>
      <c r="L123" s="30"/>
    </row>
    <row r="124" spans="1:12" s="1" customFormat="1">
      <c r="A124" s="1" t="str">
        <f t="shared" si="9"/>
        <v>-</v>
      </c>
      <c r="B124" s="3" t="str">
        <f t="shared" si="10"/>
        <v>-</v>
      </c>
      <c r="C124" s="18" t="str">
        <f t="shared" si="8"/>
        <v>-</v>
      </c>
      <c r="D124" s="1" t="str">
        <f t="shared" si="7"/>
        <v/>
      </c>
      <c r="E124" s="26"/>
      <c r="K124" s="32"/>
      <c r="L124" s="30"/>
    </row>
    <row r="125" spans="1:12" s="1" customFormat="1">
      <c r="A125" s="1" t="str">
        <f t="shared" si="9"/>
        <v>-</v>
      </c>
      <c r="B125" s="3" t="str">
        <f t="shared" si="10"/>
        <v>-</v>
      </c>
      <c r="C125" s="18" t="str">
        <f t="shared" si="8"/>
        <v>-</v>
      </c>
      <c r="D125" s="1" t="str">
        <f t="shared" si="7"/>
        <v/>
      </c>
      <c r="E125" s="26"/>
      <c r="K125" s="32"/>
      <c r="L125" s="30"/>
    </row>
    <row r="126" spans="1:12" s="1" customFormat="1">
      <c r="A126" s="1" t="str">
        <f t="shared" si="9"/>
        <v>-</v>
      </c>
      <c r="B126" s="3" t="str">
        <f t="shared" si="10"/>
        <v>-</v>
      </c>
      <c r="C126" s="18" t="str">
        <f t="shared" si="8"/>
        <v>-</v>
      </c>
      <c r="D126" s="1" t="str">
        <f t="shared" si="7"/>
        <v/>
      </c>
      <c r="E126" s="26"/>
      <c r="K126" s="32"/>
      <c r="L126" s="30"/>
    </row>
    <row r="127" spans="1:12" s="1" customFormat="1">
      <c r="A127" s="1" t="str">
        <f t="shared" si="9"/>
        <v>-</v>
      </c>
      <c r="B127" s="3" t="str">
        <f t="shared" si="10"/>
        <v>-</v>
      </c>
      <c r="C127" s="18" t="str">
        <f t="shared" si="8"/>
        <v>-</v>
      </c>
      <c r="D127" s="1" t="str">
        <f t="shared" si="7"/>
        <v/>
      </c>
      <c r="E127" s="26"/>
      <c r="K127" s="32"/>
      <c r="L127" s="30"/>
    </row>
    <row r="128" spans="1:12" s="1" customFormat="1">
      <c r="A128" s="1" t="str">
        <f t="shared" si="9"/>
        <v>-</v>
      </c>
      <c r="B128" s="3" t="str">
        <f t="shared" si="10"/>
        <v>-</v>
      </c>
      <c r="C128" s="18" t="str">
        <f t="shared" si="8"/>
        <v>-</v>
      </c>
      <c r="D128" s="1" t="str">
        <f t="shared" si="7"/>
        <v/>
      </c>
      <c r="E128" s="26"/>
      <c r="K128" s="32"/>
      <c r="L128" s="30"/>
    </row>
    <row r="129" spans="1:12" s="1" customFormat="1">
      <c r="A129" s="1" t="str">
        <f t="shared" si="9"/>
        <v>-</v>
      </c>
      <c r="B129" s="3" t="str">
        <f t="shared" si="10"/>
        <v>-</v>
      </c>
      <c r="C129" s="18" t="str">
        <f t="shared" si="8"/>
        <v>-</v>
      </c>
      <c r="D129" s="1" t="str">
        <f t="shared" si="7"/>
        <v/>
      </c>
      <c r="E129" s="26"/>
      <c r="K129" s="32"/>
      <c r="L129" s="30"/>
    </row>
    <row r="130" spans="1:12" s="1" customFormat="1">
      <c r="A130" s="1" t="str">
        <f t="shared" si="9"/>
        <v>-</v>
      </c>
      <c r="B130" s="3" t="str">
        <f t="shared" si="10"/>
        <v>-</v>
      </c>
      <c r="C130" s="18" t="str">
        <f t="shared" si="8"/>
        <v>-</v>
      </c>
      <c r="D130" s="1" t="str">
        <f t="shared" si="7"/>
        <v/>
      </c>
      <c r="E130" s="26"/>
      <c r="K130" s="32"/>
      <c r="L130" s="30"/>
    </row>
    <row r="131" spans="1:12" s="1" customFormat="1">
      <c r="A131" s="1" t="str">
        <f t="shared" si="9"/>
        <v>-</v>
      </c>
      <c r="B131" s="3" t="str">
        <f t="shared" si="10"/>
        <v>-</v>
      </c>
      <c r="C131" s="18" t="str">
        <f t="shared" si="8"/>
        <v>-</v>
      </c>
      <c r="D131" s="1" t="str">
        <f t="shared" si="7"/>
        <v/>
      </c>
      <c r="E131" s="26"/>
      <c r="K131" s="32"/>
      <c r="L131" s="30"/>
    </row>
    <row r="132" spans="1:12" s="1" customFormat="1">
      <c r="A132" s="1" t="str">
        <f t="shared" si="9"/>
        <v>-</v>
      </c>
      <c r="B132" s="3" t="str">
        <f t="shared" si="10"/>
        <v>-</v>
      </c>
      <c r="C132" s="18" t="str">
        <f t="shared" si="8"/>
        <v>-</v>
      </c>
      <c r="D132" s="1" t="str">
        <f t="shared" si="7"/>
        <v/>
      </c>
      <c r="E132" s="26"/>
      <c r="K132" s="32"/>
      <c r="L132" s="30"/>
    </row>
    <row r="133" spans="1:12" s="1" customFormat="1">
      <c r="A133" s="1" t="str">
        <f t="shared" si="9"/>
        <v>-</v>
      </c>
      <c r="B133" s="3" t="str">
        <f t="shared" si="10"/>
        <v>-</v>
      </c>
      <c r="C133" s="18" t="str">
        <f t="shared" si="8"/>
        <v>-</v>
      </c>
      <c r="D133" s="1" t="str">
        <f t="shared" si="7"/>
        <v/>
      </c>
      <c r="E133" s="26"/>
      <c r="K133" s="32"/>
      <c r="L133" s="30"/>
    </row>
    <row r="134" spans="1:12" s="1" customFormat="1">
      <c r="A134" s="1" t="str">
        <f t="shared" si="9"/>
        <v>-</v>
      </c>
      <c r="B134" s="3" t="str">
        <f t="shared" si="10"/>
        <v>-</v>
      </c>
      <c r="C134" s="18" t="str">
        <f t="shared" si="8"/>
        <v>-</v>
      </c>
      <c r="D134" s="1" t="str">
        <f t="shared" si="7"/>
        <v/>
      </c>
      <c r="E134" s="26"/>
      <c r="K134" s="32"/>
      <c r="L134" s="30"/>
    </row>
    <row r="135" spans="1:12" s="1" customFormat="1">
      <c r="A135" s="1" t="str">
        <f t="shared" si="9"/>
        <v>-</v>
      </c>
      <c r="B135" s="3" t="str">
        <f t="shared" si="10"/>
        <v>-</v>
      </c>
      <c r="C135" s="18" t="str">
        <f t="shared" si="8"/>
        <v>-</v>
      </c>
      <c r="D135" s="1" t="str">
        <f t="shared" si="7"/>
        <v/>
      </c>
      <c r="E135" s="26"/>
      <c r="K135" s="32"/>
      <c r="L135" s="30"/>
    </row>
    <row r="136" spans="1:12" s="1" customFormat="1">
      <c r="A136" s="1" t="str">
        <f t="shared" si="9"/>
        <v>-</v>
      </c>
      <c r="B136" s="3" t="str">
        <f t="shared" si="10"/>
        <v>-</v>
      </c>
      <c r="C136" s="18" t="str">
        <f t="shared" si="8"/>
        <v>-</v>
      </c>
      <c r="D136" s="1" t="str">
        <f t="shared" ref="D136:D199" si="11">IF(F136&lt;&gt;"",RIGHT(F136, LEN(F136) - FIND(" - ", F136) - 2),"")</f>
        <v/>
      </c>
      <c r="E136" s="26"/>
      <c r="K136" s="32"/>
      <c r="L136" s="30"/>
    </row>
    <row r="137" spans="1:12" s="1" customFormat="1">
      <c r="A137" s="1" t="str">
        <f t="shared" si="9"/>
        <v>-</v>
      </c>
      <c r="B137" s="3" t="str">
        <f t="shared" si="10"/>
        <v>-</v>
      </c>
      <c r="C137" s="18" t="str">
        <f t="shared" si="8"/>
        <v>-</v>
      </c>
      <c r="D137" s="1" t="str">
        <f t="shared" si="11"/>
        <v/>
      </c>
      <c r="E137" s="26"/>
      <c r="K137" s="32"/>
      <c r="L137" s="30"/>
    </row>
    <row r="138" spans="1:12" s="1" customFormat="1">
      <c r="A138" s="1" t="str">
        <f t="shared" si="9"/>
        <v>-</v>
      </c>
      <c r="B138" s="3" t="str">
        <f t="shared" si="10"/>
        <v>-</v>
      </c>
      <c r="C138" s="18" t="str">
        <f t="shared" si="8"/>
        <v>-</v>
      </c>
      <c r="D138" s="1" t="str">
        <f t="shared" si="11"/>
        <v/>
      </c>
      <c r="E138" s="26"/>
      <c r="K138" s="32"/>
      <c r="L138" s="30"/>
    </row>
    <row r="139" spans="1:12" s="1" customFormat="1">
      <c r="A139" s="1" t="str">
        <f t="shared" si="9"/>
        <v>-</v>
      </c>
      <c r="B139" s="3" t="str">
        <f t="shared" si="10"/>
        <v>-</v>
      </c>
      <c r="C139" s="18" t="str">
        <f t="shared" si="8"/>
        <v>-</v>
      </c>
      <c r="D139" s="1" t="str">
        <f t="shared" si="11"/>
        <v/>
      </c>
      <c r="E139" s="26"/>
      <c r="K139" s="32"/>
      <c r="L139" s="30"/>
    </row>
    <row r="140" spans="1:12" s="1" customFormat="1">
      <c r="A140" s="1" t="str">
        <f t="shared" si="9"/>
        <v>-</v>
      </c>
      <c r="B140" s="3" t="str">
        <f t="shared" si="10"/>
        <v>-</v>
      </c>
      <c r="C140" s="18" t="str">
        <f t="shared" si="8"/>
        <v>-</v>
      </c>
      <c r="D140" s="1" t="str">
        <f t="shared" si="11"/>
        <v/>
      </c>
      <c r="E140" s="26"/>
      <c r="K140" s="32"/>
      <c r="L140" s="30"/>
    </row>
    <row r="141" spans="1:12" s="1" customFormat="1">
      <c r="A141" s="1" t="str">
        <f t="shared" si="9"/>
        <v>-</v>
      </c>
      <c r="B141" s="3" t="str">
        <f t="shared" si="10"/>
        <v>-</v>
      </c>
      <c r="C141" s="18" t="str">
        <f t="shared" si="8"/>
        <v>-</v>
      </c>
      <c r="D141" s="1" t="str">
        <f t="shared" si="11"/>
        <v/>
      </c>
      <c r="E141" s="26"/>
      <c r="K141" s="32"/>
      <c r="L141" s="30"/>
    </row>
    <row r="142" spans="1:12" s="1" customFormat="1">
      <c r="A142" s="1" t="str">
        <f t="shared" si="9"/>
        <v>-</v>
      </c>
      <c r="B142" s="3" t="str">
        <f t="shared" si="10"/>
        <v>-</v>
      </c>
      <c r="C142" s="18" t="str">
        <f t="shared" si="8"/>
        <v>-</v>
      </c>
      <c r="D142" s="1" t="str">
        <f t="shared" si="11"/>
        <v/>
      </c>
      <c r="E142" s="26"/>
      <c r="K142" s="32"/>
      <c r="L142" s="30"/>
    </row>
    <row r="143" spans="1:12" s="1" customFormat="1">
      <c r="A143" s="1" t="str">
        <f t="shared" si="9"/>
        <v>-</v>
      </c>
      <c r="B143" s="3" t="str">
        <f t="shared" si="10"/>
        <v>-</v>
      </c>
      <c r="C143" s="18" t="str">
        <f t="shared" si="8"/>
        <v>-</v>
      </c>
      <c r="D143" s="1" t="str">
        <f t="shared" si="11"/>
        <v/>
      </c>
      <c r="E143" s="26"/>
      <c r="K143" s="32"/>
      <c r="L143" s="30"/>
    </row>
    <row r="144" spans="1:12" s="1" customFormat="1">
      <c r="A144" s="1" t="str">
        <f t="shared" si="9"/>
        <v>-</v>
      </c>
      <c r="B144" s="3" t="str">
        <f t="shared" si="10"/>
        <v>-</v>
      </c>
      <c r="C144" s="18" t="str">
        <f t="shared" si="8"/>
        <v>-</v>
      </c>
      <c r="D144" s="1" t="str">
        <f t="shared" si="11"/>
        <v/>
      </c>
      <c r="E144" s="26"/>
      <c r="K144" s="32"/>
      <c r="L144" s="30"/>
    </row>
    <row r="145" spans="1:12" s="1" customFormat="1">
      <c r="A145" s="1" t="str">
        <f t="shared" si="9"/>
        <v>-</v>
      </c>
      <c r="B145" s="3" t="str">
        <f t="shared" si="10"/>
        <v>-</v>
      </c>
      <c r="C145" s="18" t="str">
        <f t="shared" ref="C145:C208" si="12">IF(F145&lt;&gt;"", LEFT(RIGHT(F145, LEN(F145) - FIND("N°", F145) - 1), FIND(" ", RIGHT(F145, LEN(F145) - FIND("N°", F145) - 1) &amp; " ") - 1), "-")</f>
        <v>-</v>
      </c>
      <c r="D145" s="1" t="str">
        <f t="shared" si="11"/>
        <v/>
      </c>
      <c r="E145" s="26"/>
      <c r="K145" s="32"/>
      <c r="L145" s="30"/>
    </row>
    <row r="146" spans="1:12" s="1" customFormat="1">
      <c r="A146" s="1" t="str">
        <f t="shared" si="9"/>
        <v>-</v>
      </c>
      <c r="B146" s="3" t="str">
        <f t="shared" si="10"/>
        <v>-</v>
      </c>
      <c r="C146" s="18" t="str">
        <f t="shared" si="12"/>
        <v>-</v>
      </c>
      <c r="D146" s="1" t="str">
        <f t="shared" si="11"/>
        <v/>
      </c>
      <c r="E146" s="26"/>
      <c r="K146" s="32"/>
      <c r="L146" s="30"/>
    </row>
    <row r="147" spans="1:12" s="1" customFormat="1">
      <c r="A147" s="1" t="str">
        <f t="shared" si="9"/>
        <v>-</v>
      </c>
      <c r="B147" s="3" t="str">
        <f t="shared" si="10"/>
        <v>-</v>
      </c>
      <c r="C147" s="18" t="str">
        <f t="shared" si="12"/>
        <v>-</v>
      </c>
      <c r="D147" s="1" t="str">
        <f t="shared" si="11"/>
        <v/>
      </c>
      <c r="E147" s="26"/>
      <c r="K147" s="32"/>
      <c r="L147" s="30"/>
    </row>
    <row r="148" spans="1:12" s="1" customFormat="1">
      <c r="A148" s="1" t="str">
        <f t="shared" si="9"/>
        <v>-</v>
      </c>
      <c r="B148" s="3" t="str">
        <f t="shared" si="10"/>
        <v>-</v>
      </c>
      <c r="C148" s="18" t="str">
        <f t="shared" si="12"/>
        <v>-</v>
      </c>
      <c r="D148" s="1" t="str">
        <f t="shared" si="11"/>
        <v/>
      </c>
      <c r="E148" s="26"/>
      <c r="K148" s="32"/>
      <c r="L148" s="30"/>
    </row>
    <row r="149" spans="1:12" s="1" customFormat="1">
      <c r="A149" s="1" t="str">
        <f t="shared" ref="A149:A212" si="13">IF(E149&lt;&gt;"",TEXT(E149, "hh:mm"),"-")</f>
        <v>-</v>
      </c>
      <c r="B149" s="3" t="str">
        <f t="shared" ref="B149:B212" si="14">IF(E149&lt;&gt;"",DATE(YEAR(E149),MONTH(E149), DAY(E149)),"-")</f>
        <v>-</v>
      </c>
      <c r="C149" s="18" t="str">
        <f t="shared" si="12"/>
        <v>-</v>
      </c>
      <c r="D149" s="1" t="str">
        <f t="shared" si="11"/>
        <v/>
      </c>
      <c r="E149" s="26"/>
      <c r="K149" s="32"/>
      <c r="L149" s="30"/>
    </row>
    <row r="150" spans="1:12" s="1" customFormat="1">
      <c r="A150" s="1" t="str">
        <f t="shared" si="13"/>
        <v>-</v>
      </c>
      <c r="B150" s="3" t="str">
        <f t="shared" si="14"/>
        <v>-</v>
      </c>
      <c r="C150" s="18" t="str">
        <f t="shared" si="12"/>
        <v>-</v>
      </c>
      <c r="D150" s="1" t="str">
        <f t="shared" si="11"/>
        <v/>
      </c>
      <c r="E150" s="26"/>
      <c r="K150" s="32"/>
      <c r="L150" s="30"/>
    </row>
    <row r="151" spans="1:12" s="1" customFormat="1">
      <c r="A151" s="1" t="str">
        <f t="shared" si="13"/>
        <v>-</v>
      </c>
      <c r="B151" s="3" t="str">
        <f t="shared" si="14"/>
        <v>-</v>
      </c>
      <c r="C151" s="18" t="str">
        <f t="shared" si="12"/>
        <v>-</v>
      </c>
      <c r="D151" s="1" t="str">
        <f t="shared" si="11"/>
        <v/>
      </c>
      <c r="E151" s="26"/>
      <c r="K151" s="32"/>
      <c r="L151" s="30"/>
    </row>
    <row r="152" spans="1:12" s="1" customFormat="1">
      <c r="A152" s="1" t="str">
        <f t="shared" si="13"/>
        <v>-</v>
      </c>
      <c r="B152" s="3" t="str">
        <f t="shared" si="14"/>
        <v>-</v>
      </c>
      <c r="C152" s="18" t="str">
        <f t="shared" si="12"/>
        <v>-</v>
      </c>
      <c r="D152" s="1" t="str">
        <f t="shared" si="11"/>
        <v/>
      </c>
      <c r="E152" s="26"/>
      <c r="K152" s="32"/>
      <c r="L152" s="30"/>
    </row>
    <row r="153" spans="1:12" s="1" customFormat="1">
      <c r="A153" s="1" t="str">
        <f t="shared" si="13"/>
        <v>-</v>
      </c>
      <c r="B153" s="3" t="str">
        <f t="shared" si="14"/>
        <v>-</v>
      </c>
      <c r="C153" s="18" t="str">
        <f t="shared" si="12"/>
        <v>-</v>
      </c>
      <c r="D153" s="1" t="str">
        <f t="shared" si="11"/>
        <v/>
      </c>
      <c r="E153" s="26"/>
      <c r="K153" s="32"/>
      <c r="L153" s="30"/>
    </row>
    <row r="154" spans="1:12" s="1" customFormat="1">
      <c r="A154" s="1" t="str">
        <f t="shared" si="13"/>
        <v>-</v>
      </c>
      <c r="B154" s="3" t="str">
        <f t="shared" si="14"/>
        <v>-</v>
      </c>
      <c r="C154" s="18" t="str">
        <f t="shared" si="12"/>
        <v>-</v>
      </c>
      <c r="D154" s="1" t="str">
        <f t="shared" si="11"/>
        <v/>
      </c>
      <c r="E154" s="26"/>
      <c r="K154" s="32"/>
      <c r="L154" s="30"/>
    </row>
    <row r="155" spans="1:12" s="1" customFormat="1">
      <c r="A155" s="1" t="str">
        <f t="shared" si="13"/>
        <v>-</v>
      </c>
      <c r="B155" s="3" t="str">
        <f t="shared" si="14"/>
        <v>-</v>
      </c>
      <c r="C155" s="18" t="str">
        <f t="shared" si="12"/>
        <v>-</v>
      </c>
      <c r="D155" s="1" t="str">
        <f t="shared" si="11"/>
        <v/>
      </c>
      <c r="E155" s="26"/>
      <c r="K155" s="32"/>
      <c r="L155" s="30"/>
    </row>
    <row r="156" spans="1:12" s="1" customFormat="1">
      <c r="A156" s="1" t="str">
        <f t="shared" si="13"/>
        <v>-</v>
      </c>
      <c r="B156" s="3" t="str">
        <f t="shared" si="14"/>
        <v>-</v>
      </c>
      <c r="C156" s="18" t="str">
        <f t="shared" si="12"/>
        <v>-</v>
      </c>
      <c r="D156" s="1" t="str">
        <f t="shared" si="11"/>
        <v/>
      </c>
      <c r="E156" s="26"/>
      <c r="K156" s="32"/>
      <c r="L156" s="30"/>
    </row>
    <row r="157" spans="1:12" s="1" customFormat="1">
      <c r="A157" s="1" t="str">
        <f t="shared" si="13"/>
        <v>-</v>
      </c>
      <c r="B157" s="3" t="str">
        <f t="shared" si="14"/>
        <v>-</v>
      </c>
      <c r="C157" s="18" t="str">
        <f t="shared" si="12"/>
        <v>-</v>
      </c>
      <c r="D157" s="1" t="str">
        <f t="shared" si="11"/>
        <v/>
      </c>
      <c r="E157" s="26"/>
      <c r="K157" s="32"/>
      <c r="L157" s="30"/>
    </row>
    <row r="158" spans="1:12" s="1" customFormat="1">
      <c r="A158" s="1" t="str">
        <f t="shared" si="13"/>
        <v>-</v>
      </c>
      <c r="B158" s="3" t="str">
        <f t="shared" si="14"/>
        <v>-</v>
      </c>
      <c r="C158" s="18" t="str">
        <f t="shared" si="12"/>
        <v>-</v>
      </c>
      <c r="D158" s="1" t="str">
        <f t="shared" si="11"/>
        <v/>
      </c>
      <c r="E158" s="26"/>
      <c r="K158" s="32"/>
      <c r="L158" s="30"/>
    </row>
    <row r="159" spans="1:12" s="1" customFormat="1">
      <c r="A159" s="1" t="str">
        <f t="shared" si="13"/>
        <v>-</v>
      </c>
      <c r="B159" s="3" t="str">
        <f t="shared" si="14"/>
        <v>-</v>
      </c>
      <c r="C159" s="18" t="str">
        <f t="shared" si="12"/>
        <v>-</v>
      </c>
      <c r="D159" s="1" t="str">
        <f t="shared" si="11"/>
        <v/>
      </c>
      <c r="E159" s="26"/>
      <c r="K159" s="32"/>
      <c r="L159" s="30"/>
    </row>
    <row r="160" spans="1:12" s="1" customFormat="1">
      <c r="A160" s="1" t="str">
        <f t="shared" si="13"/>
        <v>-</v>
      </c>
      <c r="B160" s="3" t="str">
        <f t="shared" si="14"/>
        <v>-</v>
      </c>
      <c r="C160" s="18" t="str">
        <f t="shared" si="12"/>
        <v>-</v>
      </c>
      <c r="D160" s="1" t="str">
        <f t="shared" si="11"/>
        <v/>
      </c>
      <c r="E160" s="26"/>
      <c r="K160" s="32"/>
      <c r="L160" s="30"/>
    </row>
    <row r="161" spans="1:12" s="1" customFormat="1">
      <c r="A161" s="1" t="str">
        <f t="shared" si="13"/>
        <v>-</v>
      </c>
      <c r="B161" s="3" t="str">
        <f t="shared" si="14"/>
        <v>-</v>
      </c>
      <c r="C161" s="18" t="str">
        <f t="shared" si="12"/>
        <v>-</v>
      </c>
      <c r="D161" s="1" t="str">
        <f t="shared" si="11"/>
        <v/>
      </c>
      <c r="E161" s="26"/>
      <c r="K161" s="32"/>
      <c r="L161" s="30"/>
    </row>
    <row r="162" spans="1:12" s="1" customFormat="1">
      <c r="A162" s="1" t="str">
        <f t="shared" si="13"/>
        <v>-</v>
      </c>
      <c r="B162" s="3" t="str">
        <f t="shared" si="14"/>
        <v>-</v>
      </c>
      <c r="C162" s="18" t="str">
        <f t="shared" si="12"/>
        <v>-</v>
      </c>
      <c r="D162" s="1" t="str">
        <f t="shared" si="11"/>
        <v/>
      </c>
      <c r="E162" s="26"/>
      <c r="K162" s="32"/>
      <c r="L162" s="30"/>
    </row>
    <row r="163" spans="1:12" s="1" customFormat="1">
      <c r="A163" s="1" t="str">
        <f t="shared" si="13"/>
        <v>-</v>
      </c>
      <c r="B163" s="3" t="str">
        <f t="shared" si="14"/>
        <v>-</v>
      </c>
      <c r="C163" s="18" t="str">
        <f t="shared" si="12"/>
        <v>-</v>
      </c>
      <c r="D163" s="1" t="str">
        <f t="shared" si="11"/>
        <v/>
      </c>
      <c r="E163" s="26"/>
      <c r="K163" s="32"/>
      <c r="L163" s="30"/>
    </row>
    <row r="164" spans="1:12" s="1" customFormat="1">
      <c r="A164" s="1" t="str">
        <f t="shared" si="13"/>
        <v>-</v>
      </c>
      <c r="B164" s="3" t="str">
        <f t="shared" si="14"/>
        <v>-</v>
      </c>
      <c r="C164" s="18" t="str">
        <f t="shared" si="12"/>
        <v>-</v>
      </c>
      <c r="D164" s="1" t="str">
        <f t="shared" si="11"/>
        <v/>
      </c>
      <c r="E164" s="26"/>
      <c r="K164" s="32"/>
      <c r="L164" s="30"/>
    </row>
    <row r="165" spans="1:12" s="1" customFormat="1">
      <c r="A165" s="1" t="str">
        <f t="shared" si="13"/>
        <v>-</v>
      </c>
      <c r="B165" s="3" t="str">
        <f t="shared" si="14"/>
        <v>-</v>
      </c>
      <c r="C165" s="18" t="str">
        <f t="shared" si="12"/>
        <v>-</v>
      </c>
      <c r="D165" s="1" t="str">
        <f t="shared" si="11"/>
        <v/>
      </c>
      <c r="E165" s="26"/>
      <c r="K165" s="32"/>
      <c r="L165" s="30"/>
    </row>
    <row r="166" spans="1:12" s="1" customFormat="1">
      <c r="A166" s="1" t="str">
        <f t="shared" si="13"/>
        <v>-</v>
      </c>
      <c r="B166" s="3" t="str">
        <f t="shared" si="14"/>
        <v>-</v>
      </c>
      <c r="C166" s="18" t="str">
        <f t="shared" si="12"/>
        <v>-</v>
      </c>
      <c r="D166" s="1" t="str">
        <f t="shared" si="11"/>
        <v/>
      </c>
      <c r="E166" s="26"/>
      <c r="K166" s="32"/>
      <c r="L166" s="30"/>
    </row>
    <row r="167" spans="1:12" s="1" customFormat="1">
      <c r="A167" s="1" t="str">
        <f t="shared" si="13"/>
        <v>-</v>
      </c>
      <c r="B167" s="3" t="str">
        <f t="shared" si="14"/>
        <v>-</v>
      </c>
      <c r="C167" s="18" t="str">
        <f t="shared" si="12"/>
        <v>-</v>
      </c>
      <c r="D167" s="1" t="str">
        <f t="shared" si="11"/>
        <v/>
      </c>
      <c r="E167" s="26"/>
      <c r="K167" s="32"/>
      <c r="L167" s="30"/>
    </row>
    <row r="168" spans="1:12" s="1" customFormat="1">
      <c r="A168" s="1" t="str">
        <f t="shared" si="13"/>
        <v>-</v>
      </c>
      <c r="B168" s="3" t="str">
        <f t="shared" si="14"/>
        <v>-</v>
      </c>
      <c r="C168" s="18" t="str">
        <f t="shared" si="12"/>
        <v>-</v>
      </c>
      <c r="D168" s="1" t="str">
        <f t="shared" si="11"/>
        <v/>
      </c>
      <c r="E168" s="26"/>
      <c r="K168" s="32"/>
      <c r="L168" s="30"/>
    </row>
    <row r="169" spans="1:12" s="1" customFormat="1">
      <c r="A169" s="1" t="str">
        <f t="shared" si="13"/>
        <v>-</v>
      </c>
      <c r="B169" s="3" t="str">
        <f t="shared" si="14"/>
        <v>-</v>
      </c>
      <c r="C169" s="18" t="str">
        <f t="shared" si="12"/>
        <v>-</v>
      </c>
      <c r="D169" s="1" t="str">
        <f t="shared" si="11"/>
        <v/>
      </c>
      <c r="E169" s="26"/>
      <c r="K169" s="32"/>
      <c r="L169" s="30"/>
    </row>
    <row r="170" spans="1:12" s="1" customFormat="1">
      <c r="A170" s="1" t="str">
        <f t="shared" si="13"/>
        <v>-</v>
      </c>
      <c r="B170" s="3" t="str">
        <f t="shared" si="14"/>
        <v>-</v>
      </c>
      <c r="C170" s="18" t="str">
        <f t="shared" si="12"/>
        <v>-</v>
      </c>
      <c r="D170" s="1" t="str">
        <f t="shared" si="11"/>
        <v/>
      </c>
      <c r="E170" s="26"/>
      <c r="K170" s="32"/>
      <c r="L170" s="30"/>
    </row>
    <row r="171" spans="1:12" s="1" customFormat="1">
      <c r="A171" s="1" t="str">
        <f t="shared" si="13"/>
        <v>-</v>
      </c>
      <c r="B171" s="3" t="str">
        <f t="shared" si="14"/>
        <v>-</v>
      </c>
      <c r="C171" s="18" t="str">
        <f t="shared" si="12"/>
        <v>-</v>
      </c>
      <c r="D171" s="1" t="str">
        <f t="shared" si="11"/>
        <v/>
      </c>
      <c r="E171" s="26"/>
      <c r="K171" s="32"/>
      <c r="L171" s="30"/>
    </row>
    <row r="172" spans="1:12" s="1" customFormat="1">
      <c r="A172" s="1" t="str">
        <f t="shared" si="13"/>
        <v>-</v>
      </c>
      <c r="B172" s="3" t="str">
        <f t="shared" si="14"/>
        <v>-</v>
      </c>
      <c r="C172" s="18" t="str">
        <f t="shared" si="12"/>
        <v>-</v>
      </c>
      <c r="D172" s="1" t="str">
        <f t="shared" si="11"/>
        <v/>
      </c>
      <c r="E172" s="26"/>
      <c r="K172" s="32"/>
      <c r="L172" s="30"/>
    </row>
    <row r="173" spans="1:12" s="1" customFormat="1">
      <c r="A173" s="1" t="str">
        <f t="shared" si="13"/>
        <v>-</v>
      </c>
      <c r="B173" s="3" t="str">
        <f t="shared" si="14"/>
        <v>-</v>
      </c>
      <c r="C173" s="18" t="str">
        <f t="shared" si="12"/>
        <v>-</v>
      </c>
      <c r="D173" s="1" t="str">
        <f t="shared" si="11"/>
        <v/>
      </c>
      <c r="E173" s="26"/>
      <c r="K173" s="32"/>
      <c r="L173" s="30"/>
    </row>
    <row r="174" spans="1:12" s="1" customFormat="1">
      <c r="A174" s="1" t="str">
        <f t="shared" si="13"/>
        <v>-</v>
      </c>
      <c r="B174" s="3" t="str">
        <f t="shared" si="14"/>
        <v>-</v>
      </c>
      <c r="C174" s="18" t="str">
        <f t="shared" si="12"/>
        <v>-</v>
      </c>
      <c r="D174" s="1" t="str">
        <f t="shared" si="11"/>
        <v/>
      </c>
      <c r="E174" s="26"/>
      <c r="K174" s="32"/>
      <c r="L174" s="30"/>
    </row>
    <row r="175" spans="1:12" s="1" customFormat="1">
      <c r="A175" s="1" t="str">
        <f t="shared" si="13"/>
        <v>-</v>
      </c>
      <c r="B175" s="3" t="str">
        <f t="shared" si="14"/>
        <v>-</v>
      </c>
      <c r="C175" s="18" t="str">
        <f t="shared" si="12"/>
        <v>-</v>
      </c>
      <c r="D175" s="1" t="str">
        <f t="shared" si="11"/>
        <v/>
      </c>
      <c r="E175" s="26"/>
      <c r="K175" s="32"/>
      <c r="L175" s="30"/>
    </row>
    <row r="176" spans="1:12" s="1" customFormat="1">
      <c r="A176" s="1" t="str">
        <f t="shared" si="13"/>
        <v>-</v>
      </c>
      <c r="B176" s="3" t="str">
        <f t="shared" si="14"/>
        <v>-</v>
      </c>
      <c r="C176" s="18" t="str">
        <f t="shared" si="12"/>
        <v>-</v>
      </c>
      <c r="D176" s="1" t="str">
        <f t="shared" si="11"/>
        <v/>
      </c>
      <c r="E176" s="26"/>
      <c r="K176" s="32"/>
      <c r="L176" s="30"/>
    </row>
    <row r="177" spans="1:12" s="1" customFormat="1">
      <c r="A177" s="1" t="str">
        <f t="shared" si="13"/>
        <v>-</v>
      </c>
      <c r="B177" s="3" t="str">
        <f t="shared" si="14"/>
        <v>-</v>
      </c>
      <c r="C177" s="18" t="str">
        <f t="shared" si="12"/>
        <v>-</v>
      </c>
      <c r="D177" s="1" t="str">
        <f t="shared" si="11"/>
        <v/>
      </c>
      <c r="E177" s="26"/>
      <c r="K177" s="32"/>
      <c r="L177" s="30"/>
    </row>
    <row r="178" spans="1:12" s="1" customFormat="1">
      <c r="A178" s="1" t="str">
        <f t="shared" si="13"/>
        <v>-</v>
      </c>
      <c r="B178" s="3" t="str">
        <f t="shared" si="14"/>
        <v>-</v>
      </c>
      <c r="C178" s="18" t="str">
        <f t="shared" si="12"/>
        <v>-</v>
      </c>
      <c r="D178" s="1" t="str">
        <f t="shared" si="11"/>
        <v/>
      </c>
      <c r="E178" s="26"/>
      <c r="K178" s="32"/>
      <c r="L178" s="30"/>
    </row>
    <row r="179" spans="1:12" s="1" customFormat="1">
      <c r="A179" s="1" t="str">
        <f t="shared" si="13"/>
        <v>-</v>
      </c>
      <c r="B179" s="3" t="str">
        <f t="shared" si="14"/>
        <v>-</v>
      </c>
      <c r="C179" s="18" t="str">
        <f t="shared" si="12"/>
        <v>-</v>
      </c>
      <c r="D179" s="1" t="str">
        <f t="shared" si="11"/>
        <v/>
      </c>
      <c r="E179" s="26"/>
      <c r="K179" s="32"/>
      <c r="L179" s="30"/>
    </row>
    <row r="180" spans="1:12" s="1" customFormat="1">
      <c r="A180" s="1" t="str">
        <f t="shared" si="13"/>
        <v>-</v>
      </c>
      <c r="B180" s="3" t="str">
        <f t="shared" si="14"/>
        <v>-</v>
      </c>
      <c r="C180" s="18" t="str">
        <f t="shared" si="12"/>
        <v>-</v>
      </c>
      <c r="D180" s="1" t="str">
        <f t="shared" si="11"/>
        <v/>
      </c>
      <c r="E180" s="26"/>
      <c r="K180" s="32"/>
      <c r="L180" s="30"/>
    </row>
    <row r="181" spans="1:12" s="1" customFormat="1">
      <c r="A181" s="1" t="str">
        <f t="shared" si="13"/>
        <v>-</v>
      </c>
      <c r="B181" s="3" t="str">
        <f t="shared" si="14"/>
        <v>-</v>
      </c>
      <c r="C181" s="18" t="str">
        <f t="shared" si="12"/>
        <v>-</v>
      </c>
      <c r="D181" s="1" t="str">
        <f t="shared" si="11"/>
        <v/>
      </c>
      <c r="E181" s="26"/>
      <c r="K181" s="32"/>
      <c r="L181" s="30"/>
    </row>
    <row r="182" spans="1:12" s="1" customFormat="1">
      <c r="A182" s="1" t="str">
        <f t="shared" si="13"/>
        <v>-</v>
      </c>
      <c r="B182" s="3" t="str">
        <f t="shared" si="14"/>
        <v>-</v>
      </c>
      <c r="C182" s="18" t="str">
        <f t="shared" si="12"/>
        <v>-</v>
      </c>
      <c r="D182" s="1" t="str">
        <f t="shared" si="11"/>
        <v/>
      </c>
      <c r="E182" s="26"/>
      <c r="K182" s="32"/>
      <c r="L182" s="30"/>
    </row>
    <row r="183" spans="1:12" s="1" customFormat="1">
      <c r="A183" s="1" t="str">
        <f t="shared" si="13"/>
        <v>-</v>
      </c>
      <c r="B183" s="3" t="str">
        <f t="shared" si="14"/>
        <v>-</v>
      </c>
      <c r="C183" s="18" t="str">
        <f t="shared" si="12"/>
        <v>-</v>
      </c>
      <c r="D183" s="1" t="str">
        <f t="shared" si="11"/>
        <v/>
      </c>
      <c r="E183" s="26"/>
      <c r="K183" s="32"/>
      <c r="L183" s="30"/>
    </row>
    <row r="184" spans="1:12" s="1" customFormat="1">
      <c r="A184" s="1" t="str">
        <f t="shared" si="13"/>
        <v>-</v>
      </c>
      <c r="B184" s="3" t="str">
        <f t="shared" si="14"/>
        <v>-</v>
      </c>
      <c r="C184" s="18" t="str">
        <f t="shared" si="12"/>
        <v>-</v>
      </c>
      <c r="D184" s="1" t="str">
        <f t="shared" si="11"/>
        <v/>
      </c>
      <c r="E184" s="26"/>
      <c r="K184" s="32"/>
      <c r="L184" s="30"/>
    </row>
    <row r="185" spans="1:12" s="1" customFormat="1">
      <c r="A185" s="1" t="str">
        <f t="shared" si="13"/>
        <v>-</v>
      </c>
      <c r="B185" s="3" t="str">
        <f t="shared" si="14"/>
        <v>-</v>
      </c>
      <c r="C185" s="18" t="str">
        <f t="shared" si="12"/>
        <v>-</v>
      </c>
      <c r="D185" s="1" t="str">
        <f t="shared" si="11"/>
        <v/>
      </c>
      <c r="E185" s="26"/>
      <c r="K185" s="32"/>
      <c r="L185" s="30"/>
    </row>
    <row r="186" spans="1:12" s="1" customFormat="1">
      <c r="A186" s="1" t="str">
        <f t="shared" si="13"/>
        <v>-</v>
      </c>
      <c r="B186" s="3" t="str">
        <f t="shared" si="14"/>
        <v>-</v>
      </c>
      <c r="C186" s="18" t="str">
        <f t="shared" si="12"/>
        <v>-</v>
      </c>
      <c r="D186" s="1" t="str">
        <f t="shared" si="11"/>
        <v/>
      </c>
      <c r="E186" s="26"/>
      <c r="K186" s="32"/>
      <c r="L186" s="30"/>
    </row>
    <row r="187" spans="1:12" s="1" customFormat="1">
      <c r="A187" s="1" t="str">
        <f t="shared" si="13"/>
        <v>-</v>
      </c>
      <c r="B187" s="3" t="str">
        <f t="shared" si="14"/>
        <v>-</v>
      </c>
      <c r="C187" s="18" t="str">
        <f t="shared" si="12"/>
        <v>-</v>
      </c>
      <c r="D187" s="1" t="str">
        <f t="shared" si="11"/>
        <v/>
      </c>
      <c r="E187" s="26"/>
      <c r="K187" s="32"/>
      <c r="L187" s="30"/>
    </row>
    <row r="188" spans="1:12" s="1" customFormat="1">
      <c r="A188" s="1" t="str">
        <f t="shared" si="13"/>
        <v>-</v>
      </c>
      <c r="B188" s="3" t="str">
        <f t="shared" si="14"/>
        <v>-</v>
      </c>
      <c r="C188" s="18" t="str">
        <f t="shared" si="12"/>
        <v>-</v>
      </c>
      <c r="D188" s="1" t="str">
        <f t="shared" si="11"/>
        <v/>
      </c>
      <c r="E188" s="26"/>
      <c r="K188" s="32"/>
      <c r="L188" s="30"/>
    </row>
    <row r="189" spans="1:12" s="1" customFormat="1">
      <c r="A189" s="1" t="str">
        <f t="shared" si="13"/>
        <v>-</v>
      </c>
      <c r="B189" s="3" t="str">
        <f t="shared" si="14"/>
        <v>-</v>
      </c>
      <c r="C189" s="18" t="str">
        <f t="shared" si="12"/>
        <v>-</v>
      </c>
      <c r="D189" s="1" t="str">
        <f t="shared" si="11"/>
        <v/>
      </c>
      <c r="E189" s="26"/>
      <c r="K189" s="32"/>
      <c r="L189" s="30"/>
    </row>
    <row r="190" spans="1:12" s="1" customFormat="1">
      <c r="A190" s="1" t="str">
        <f t="shared" si="13"/>
        <v>-</v>
      </c>
      <c r="B190" s="3" t="str">
        <f t="shared" si="14"/>
        <v>-</v>
      </c>
      <c r="C190" s="18" t="str">
        <f t="shared" si="12"/>
        <v>-</v>
      </c>
      <c r="D190" s="1" t="str">
        <f t="shared" si="11"/>
        <v/>
      </c>
      <c r="E190" s="26"/>
      <c r="K190" s="32"/>
      <c r="L190" s="30"/>
    </row>
    <row r="191" spans="1:12" s="1" customFormat="1">
      <c r="A191" s="1" t="str">
        <f t="shared" si="13"/>
        <v>-</v>
      </c>
      <c r="B191" s="3" t="str">
        <f t="shared" si="14"/>
        <v>-</v>
      </c>
      <c r="C191" s="18" t="str">
        <f t="shared" si="12"/>
        <v>-</v>
      </c>
      <c r="D191" s="1" t="str">
        <f t="shared" si="11"/>
        <v/>
      </c>
      <c r="E191" s="26"/>
      <c r="K191" s="32"/>
      <c r="L191" s="30"/>
    </row>
    <row r="192" spans="1:12" s="1" customFormat="1">
      <c r="A192" s="1" t="str">
        <f t="shared" si="13"/>
        <v>-</v>
      </c>
      <c r="B192" s="3" t="str">
        <f t="shared" si="14"/>
        <v>-</v>
      </c>
      <c r="C192" s="18" t="str">
        <f t="shared" si="12"/>
        <v>-</v>
      </c>
      <c r="D192" s="1" t="str">
        <f t="shared" si="11"/>
        <v/>
      </c>
      <c r="E192" s="26"/>
      <c r="K192" s="32"/>
      <c r="L192" s="30"/>
    </row>
    <row r="193" spans="1:12" s="1" customFormat="1">
      <c r="A193" s="1" t="str">
        <f t="shared" si="13"/>
        <v>-</v>
      </c>
      <c r="B193" s="3" t="str">
        <f t="shared" si="14"/>
        <v>-</v>
      </c>
      <c r="C193" s="18" t="str">
        <f t="shared" si="12"/>
        <v>-</v>
      </c>
      <c r="D193" s="1" t="str">
        <f t="shared" si="11"/>
        <v/>
      </c>
      <c r="E193" s="26"/>
      <c r="K193" s="32"/>
      <c r="L193" s="30"/>
    </row>
    <row r="194" spans="1:12" s="1" customFormat="1">
      <c r="A194" s="1" t="str">
        <f t="shared" si="13"/>
        <v>-</v>
      </c>
      <c r="B194" s="3" t="str">
        <f t="shared" si="14"/>
        <v>-</v>
      </c>
      <c r="C194" s="18" t="str">
        <f t="shared" si="12"/>
        <v>-</v>
      </c>
      <c r="D194" s="1" t="str">
        <f t="shared" si="11"/>
        <v/>
      </c>
      <c r="E194" s="26"/>
      <c r="K194" s="32"/>
      <c r="L194" s="30"/>
    </row>
    <row r="195" spans="1:12" s="1" customFormat="1">
      <c r="A195" s="1" t="str">
        <f t="shared" si="13"/>
        <v>-</v>
      </c>
      <c r="B195" s="3" t="str">
        <f t="shared" si="14"/>
        <v>-</v>
      </c>
      <c r="C195" s="18" t="str">
        <f t="shared" si="12"/>
        <v>-</v>
      </c>
      <c r="D195" s="1" t="str">
        <f t="shared" si="11"/>
        <v/>
      </c>
      <c r="E195" s="26"/>
      <c r="K195" s="32"/>
      <c r="L195" s="30"/>
    </row>
    <row r="196" spans="1:12" s="1" customFormat="1">
      <c r="A196" s="1" t="str">
        <f t="shared" si="13"/>
        <v>-</v>
      </c>
      <c r="B196" s="3" t="str">
        <f t="shared" si="14"/>
        <v>-</v>
      </c>
      <c r="C196" s="18" t="str">
        <f t="shared" si="12"/>
        <v>-</v>
      </c>
      <c r="D196" s="1" t="str">
        <f t="shared" si="11"/>
        <v/>
      </c>
      <c r="E196" s="26"/>
      <c r="K196" s="32"/>
      <c r="L196" s="30"/>
    </row>
    <row r="197" spans="1:12" s="1" customFormat="1">
      <c r="A197" s="1" t="str">
        <f t="shared" si="13"/>
        <v>-</v>
      </c>
      <c r="B197" s="3" t="str">
        <f t="shared" si="14"/>
        <v>-</v>
      </c>
      <c r="C197" s="18" t="str">
        <f t="shared" si="12"/>
        <v>-</v>
      </c>
      <c r="D197" s="1" t="str">
        <f t="shared" si="11"/>
        <v/>
      </c>
      <c r="E197" s="26"/>
      <c r="K197" s="32"/>
      <c r="L197" s="30"/>
    </row>
    <row r="198" spans="1:12" s="1" customFormat="1">
      <c r="A198" s="1" t="str">
        <f t="shared" si="13"/>
        <v>-</v>
      </c>
      <c r="B198" s="3" t="str">
        <f t="shared" si="14"/>
        <v>-</v>
      </c>
      <c r="C198" s="18" t="str">
        <f t="shared" si="12"/>
        <v>-</v>
      </c>
      <c r="D198" s="1" t="str">
        <f t="shared" si="11"/>
        <v/>
      </c>
      <c r="E198" s="26"/>
      <c r="K198" s="32"/>
      <c r="L198" s="30"/>
    </row>
    <row r="199" spans="1:12" s="1" customFormat="1">
      <c r="A199" s="1" t="str">
        <f t="shared" si="13"/>
        <v>-</v>
      </c>
      <c r="B199" s="3" t="str">
        <f t="shared" si="14"/>
        <v>-</v>
      </c>
      <c r="C199" s="18" t="str">
        <f t="shared" si="12"/>
        <v>-</v>
      </c>
      <c r="D199" s="1" t="str">
        <f t="shared" si="11"/>
        <v/>
      </c>
      <c r="E199" s="26"/>
      <c r="K199" s="32"/>
      <c r="L199" s="30"/>
    </row>
    <row r="200" spans="1:12" s="1" customFormat="1">
      <c r="A200" s="1" t="str">
        <f t="shared" si="13"/>
        <v>-</v>
      </c>
      <c r="B200" s="3" t="str">
        <f t="shared" si="14"/>
        <v>-</v>
      </c>
      <c r="C200" s="18" t="str">
        <f t="shared" si="12"/>
        <v>-</v>
      </c>
      <c r="D200" s="1" t="str">
        <f t="shared" ref="D200:D263" si="15">IF(F200&lt;&gt;"",RIGHT(F200, LEN(F200) - FIND(" - ", F200) - 2),"")</f>
        <v/>
      </c>
      <c r="E200" s="26"/>
      <c r="K200" s="32"/>
      <c r="L200" s="30"/>
    </row>
    <row r="201" spans="1:12" s="1" customFormat="1">
      <c r="A201" s="1" t="str">
        <f t="shared" si="13"/>
        <v>-</v>
      </c>
      <c r="B201" s="3" t="str">
        <f t="shared" si="14"/>
        <v>-</v>
      </c>
      <c r="C201" s="18" t="str">
        <f t="shared" si="12"/>
        <v>-</v>
      </c>
      <c r="D201" s="1" t="str">
        <f t="shared" si="15"/>
        <v/>
      </c>
      <c r="E201" s="26"/>
      <c r="K201" s="32"/>
      <c r="L201" s="30"/>
    </row>
    <row r="202" spans="1:12" s="1" customFormat="1">
      <c r="A202" s="1" t="str">
        <f t="shared" si="13"/>
        <v>-</v>
      </c>
      <c r="B202" s="3" t="str">
        <f t="shared" si="14"/>
        <v>-</v>
      </c>
      <c r="C202" s="18" t="str">
        <f t="shared" si="12"/>
        <v>-</v>
      </c>
      <c r="D202" s="1" t="str">
        <f t="shared" si="15"/>
        <v/>
      </c>
      <c r="E202" s="26"/>
      <c r="K202" s="32"/>
      <c r="L202" s="30"/>
    </row>
    <row r="203" spans="1:12" s="1" customFormat="1">
      <c r="A203" s="1" t="str">
        <f t="shared" si="13"/>
        <v>-</v>
      </c>
      <c r="B203" s="3" t="str">
        <f t="shared" si="14"/>
        <v>-</v>
      </c>
      <c r="C203" s="18" t="str">
        <f t="shared" si="12"/>
        <v>-</v>
      </c>
      <c r="D203" s="1" t="str">
        <f t="shared" si="15"/>
        <v/>
      </c>
      <c r="E203" s="26"/>
      <c r="K203" s="32"/>
      <c r="L203" s="30"/>
    </row>
    <row r="204" spans="1:12" s="1" customFormat="1">
      <c r="A204" s="1" t="str">
        <f t="shared" si="13"/>
        <v>-</v>
      </c>
      <c r="B204" s="3" t="str">
        <f t="shared" si="14"/>
        <v>-</v>
      </c>
      <c r="C204" s="18" t="str">
        <f t="shared" si="12"/>
        <v>-</v>
      </c>
      <c r="D204" s="1" t="str">
        <f t="shared" si="15"/>
        <v/>
      </c>
      <c r="E204" s="26"/>
      <c r="K204" s="32"/>
      <c r="L204" s="30"/>
    </row>
    <row r="205" spans="1:12" s="1" customFormat="1">
      <c r="A205" s="1" t="str">
        <f t="shared" si="13"/>
        <v>-</v>
      </c>
      <c r="B205" s="3" t="str">
        <f t="shared" si="14"/>
        <v>-</v>
      </c>
      <c r="C205" s="18" t="str">
        <f t="shared" si="12"/>
        <v>-</v>
      </c>
      <c r="D205" s="1" t="str">
        <f t="shared" si="15"/>
        <v/>
      </c>
      <c r="E205" s="26"/>
      <c r="K205" s="32"/>
      <c r="L205" s="30"/>
    </row>
    <row r="206" spans="1:12" s="1" customFormat="1">
      <c r="A206" s="1" t="str">
        <f t="shared" si="13"/>
        <v>-</v>
      </c>
      <c r="B206" s="3" t="str">
        <f t="shared" si="14"/>
        <v>-</v>
      </c>
      <c r="C206" s="18" t="str">
        <f t="shared" si="12"/>
        <v>-</v>
      </c>
      <c r="D206" s="1" t="str">
        <f t="shared" si="15"/>
        <v/>
      </c>
      <c r="E206" s="26"/>
      <c r="K206" s="32"/>
      <c r="L206" s="30"/>
    </row>
    <row r="207" spans="1:12" s="1" customFormat="1">
      <c r="A207" s="1" t="str">
        <f t="shared" si="13"/>
        <v>-</v>
      </c>
      <c r="B207" s="3" t="str">
        <f t="shared" si="14"/>
        <v>-</v>
      </c>
      <c r="C207" s="18" t="str">
        <f t="shared" si="12"/>
        <v>-</v>
      </c>
      <c r="D207" s="1" t="str">
        <f t="shared" si="15"/>
        <v/>
      </c>
      <c r="E207" s="26"/>
      <c r="K207" s="32"/>
      <c r="L207" s="30"/>
    </row>
    <row r="208" spans="1:12" s="1" customFormat="1">
      <c r="A208" s="1" t="str">
        <f t="shared" si="13"/>
        <v>-</v>
      </c>
      <c r="B208" s="3" t="str">
        <f t="shared" si="14"/>
        <v>-</v>
      </c>
      <c r="C208" s="18" t="str">
        <f t="shared" si="12"/>
        <v>-</v>
      </c>
      <c r="D208" s="1" t="str">
        <f t="shared" si="15"/>
        <v/>
      </c>
      <c r="E208" s="26"/>
      <c r="K208" s="32"/>
      <c r="L208" s="30"/>
    </row>
    <row r="209" spans="1:12" s="1" customFormat="1">
      <c r="A209" s="1" t="str">
        <f t="shared" si="13"/>
        <v>-</v>
      </c>
      <c r="B209" s="3" t="str">
        <f t="shared" si="14"/>
        <v>-</v>
      </c>
      <c r="C209" s="18" t="str">
        <f t="shared" ref="C209:C272" si="16">IF(F209&lt;&gt;"", LEFT(RIGHT(F209, LEN(F209) - FIND("N°", F209) - 1), FIND(" ", RIGHT(F209, LEN(F209) - FIND("N°", F209) - 1) &amp; " ") - 1), "-")</f>
        <v>-</v>
      </c>
      <c r="D209" s="1" t="str">
        <f t="shared" si="15"/>
        <v/>
      </c>
      <c r="E209" s="26"/>
      <c r="K209" s="32"/>
      <c r="L209" s="30"/>
    </row>
    <row r="210" spans="1:12" s="1" customFormat="1">
      <c r="A210" s="1" t="str">
        <f t="shared" si="13"/>
        <v>-</v>
      </c>
      <c r="B210" s="3" t="str">
        <f t="shared" si="14"/>
        <v>-</v>
      </c>
      <c r="C210" s="18" t="str">
        <f t="shared" si="16"/>
        <v>-</v>
      </c>
      <c r="D210" s="1" t="str">
        <f t="shared" si="15"/>
        <v/>
      </c>
      <c r="E210" s="26"/>
      <c r="K210" s="32"/>
      <c r="L210" s="30"/>
    </row>
    <row r="211" spans="1:12" s="1" customFormat="1">
      <c r="A211" s="1" t="str">
        <f t="shared" si="13"/>
        <v>-</v>
      </c>
      <c r="B211" s="3" t="str">
        <f t="shared" si="14"/>
        <v>-</v>
      </c>
      <c r="C211" s="18" t="str">
        <f t="shared" si="16"/>
        <v>-</v>
      </c>
      <c r="D211" s="1" t="str">
        <f t="shared" si="15"/>
        <v/>
      </c>
      <c r="E211" s="26"/>
      <c r="K211" s="32"/>
      <c r="L211" s="30"/>
    </row>
    <row r="212" spans="1:12" s="1" customFormat="1">
      <c r="A212" s="1" t="str">
        <f t="shared" si="13"/>
        <v>-</v>
      </c>
      <c r="B212" s="3" t="str">
        <f t="shared" si="14"/>
        <v>-</v>
      </c>
      <c r="C212" s="18" t="str">
        <f t="shared" si="16"/>
        <v>-</v>
      </c>
      <c r="D212" s="1" t="str">
        <f t="shared" si="15"/>
        <v/>
      </c>
      <c r="E212" s="26"/>
      <c r="K212" s="32"/>
      <c r="L212" s="30"/>
    </row>
    <row r="213" spans="1:12" s="1" customFormat="1">
      <c r="A213" s="1" t="str">
        <f t="shared" ref="A213:A276" si="17">IF(E213&lt;&gt;"",TEXT(E213, "hh:mm"),"-")</f>
        <v>-</v>
      </c>
      <c r="B213" s="3" t="str">
        <f t="shared" ref="B213:B276" si="18">IF(E213&lt;&gt;"",DATE(YEAR(E213),MONTH(E213), DAY(E213)),"-")</f>
        <v>-</v>
      </c>
      <c r="C213" s="18" t="str">
        <f t="shared" si="16"/>
        <v>-</v>
      </c>
      <c r="D213" s="1" t="str">
        <f t="shared" si="15"/>
        <v/>
      </c>
      <c r="E213" s="26"/>
      <c r="K213" s="32"/>
      <c r="L213" s="30"/>
    </row>
    <row r="214" spans="1:12" s="1" customFormat="1">
      <c r="A214" s="1" t="str">
        <f t="shared" si="17"/>
        <v>-</v>
      </c>
      <c r="B214" s="3" t="str">
        <f t="shared" si="18"/>
        <v>-</v>
      </c>
      <c r="C214" s="18" t="str">
        <f t="shared" si="16"/>
        <v>-</v>
      </c>
      <c r="D214" s="1" t="str">
        <f t="shared" si="15"/>
        <v/>
      </c>
      <c r="E214" s="26"/>
      <c r="K214" s="32"/>
      <c r="L214" s="30"/>
    </row>
    <row r="215" spans="1:12" s="1" customFormat="1">
      <c r="A215" s="1" t="str">
        <f t="shared" si="17"/>
        <v>-</v>
      </c>
      <c r="B215" s="3" t="str">
        <f t="shared" si="18"/>
        <v>-</v>
      </c>
      <c r="C215" s="18" t="str">
        <f t="shared" si="16"/>
        <v>-</v>
      </c>
      <c r="D215" s="1" t="str">
        <f t="shared" si="15"/>
        <v/>
      </c>
      <c r="E215" s="26"/>
      <c r="K215" s="32"/>
      <c r="L215" s="30"/>
    </row>
    <row r="216" spans="1:12" s="1" customFormat="1">
      <c r="A216" s="1" t="str">
        <f t="shared" si="17"/>
        <v>-</v>
      </c>
      <c r="B216" s="3" t="str">
        <f t="shared" si="18"/>
        <v>-</v>
      </c>
      <c r="C216" s="18" t="str">
        <f t="shared" si="16"/>
        <v>-</v>
      </c>
      <c r="D216" s="1" t="str">
        <f t="shared" si="15"/>
        <v/>
      </c>
      <c r="E216" s="26"/>
      <c r="K216" s="32"/>
      <c r="L216" s="30"/>
    </row>
    <row r="217" spans="1:12" s="1" customFormat="1">
      <c r="A217" s="1" t="str">
        <f t="shared" si="17"/>
        <v>-</v>
      </c>
      <c r="B217" s="3" t="str">
        <f t="shared" si="18"/>
        <v>-</v>
      </c>
      <c r="C217" s="18" t="str">
        <f t="shared" si="16"/>
        <v>-</v>
      </c>
      <c r="D217" s="1" t="str">
        <f t="shared" si="15"/>
        <v/>
      </c>
      <c r="E217" s="26"/>
      <c r="K217" s="32"/>
      <c r="L217" s="30"/>
    </row>
    <row r="218" spans="1:12" s="1" customFormat="1">
      <c r="A218" s="1" t="str">
        <f t="shared" si="17"/>
        <v>-</v>
      </c>
      <c r="B218" s="3" t="str">
        <f t="shared" si="18"/>
        <v>-</v>
      </c>
      <c r="C218" s="18" t="str">
        <f t="shared" si="16"/>
        <v>-</v>
      </c>
      <c r="D218" s="1" t="str">
        <f t="shared" si="15"/>
        <v/>
      </c>
      <c r="E218" s="26"/>
      <c r="K218" s="32"/>
      <c r="L218" s="30"/>
    </row>
    <row r="219" spans="1:12" s="1" customFormat="1">
      <c r="A219" s="1" t="str">
        <f t="shared" si="17"/>
        <v>-</v>
      </c>
      <c r="B219" s="3" t="str">
        <f t="shared" si="18"/>
        <v>-</v>
      </c>
      <c r="C219" s="18" t="str">
        <f t="shared" si="16"/>
        <v>-</v>
      </c>
      <c r="D219" s="1" t="str">
        <f t="shared" si="15"/>
        <v/>
      </c>
      <c r="E219" s="26"/>
      <c r="K219" s="32"/>
      <c r="L219" s="30"/>
    </row>
    <row r="220" spans="1:12" s="1" customFormat="1">
      <c r="A220" s="1" t="str">
        <f t="shared" si="17"/>
        <v>-</v>
      </c>
      <c r="B220" s="3" t="str">
        <f t="shared" si="18"/>
        <v>-</v>
      </c>
      <c r="C220" s="18" t="str">
        <f t="shared" si="16"/>
        <v>-</v>
      </c>
      <c r="D220" s="1" t="str">
        <f t="shared" si="15"/>
        <v/>
      </c>
      <c r="E220" s="26"/>
      <c r="K220" s="32"/>
      <c r="L220" s="30"/>
    </row>
    <row r="221" spans="1:12" s="1" customFormat="1">
      <c r="A221" s="1" t="str">
        <f t="shared" si="17"/>
        <v>-</v>
      </c>
      <c r="B221" s="3" t="str">
        <f t="shared" si="18"/>
        <v>-</v>
      </c>
      <c r="C221" s="18" t="str">
        <f t="shared" si="16"/>
        <v>-</v>
      </c>
      <c r="D221" s="1" t="str">
        <f t="shared" si="15"/>
        <v/>
      </c>
      <c r="E221" s="26"/>
      <c r="K221" s="32"/>
      <c r="L221" s="30"/>
    </row>
    <row r="222" spans="1:12" s="1" customFormat="1">
      <c r="A222" s="1" t="str">
        <f t="shared" si="17"/>
        <v>-</v>
      </c>
      <c r="B222" s="3" t="str">
        <f t="shared" si="18"/>
        <v>-</v>
      </c>
      <c r="C222" s="18" t="str">
        <f t="shared" si="16"/>
        <v>-</v>
      </c>
      <c r="D222" s="1" t="str">
        <f t="shared" si="15"/>
        <v/>
      </c>
      <c r="E222" s="26"/>
      <c r="K222" s="32"/>
      <c r="L222" s="30"/>
    </row>
    <row r="223" spans="1:12" s="1" customFormat="1">
      <c r="A223" s="1" t="str">
        <f t="shared" si="17"/>
        <v>-</v>
      </c>
      <c r="B223" s="3" t="str">
        <f t="shared" si="18"/>
        <v>-</v>
      </c>
      <c r="C223" s="18" t="str">
        <f t="shared" si="16"/>
        <v>-</v>
      </c>
      <c r="D223" s="1" t="str">
        <f t="shared" si="15"/>
        <v/>
      </c>
      <c r="E223" s="26"/>
      <c r="K223" s="32"/>
      <c r="L223" s="30"/>
    </row>
    <row r="224" spans="1:12" s="1" customFormat="1">
      <c r="A224" s="1" t="str">
        <f t="shared" si="17"/>
        <v>-</v>
      </c>
      <c r="B224" s="3" t="str">
        <f t="shared" si="18"/>
        <v>-</v>
      </c>
      <c r="C224" s="18" t="str">
        <f t="shared" si="16"/>
        <v>-</v>
      </c>
      <c r="D224" s="1" t="str">
        <f t="shared" si="15"/>
        <v/>
      </c>
      <c r="E224" s="26"/>
      <c r="K224" s="32"/>
      <c r="L224" s="30"/>
    </row>
    <row r="225" spans="1:12" s="1" customFormat="1">
      <c r="A225" s="1" t="str">
        <f t="shared" si="17"/>
        <v>-</v>
      </c>
      <c r="B225" s="3" t="str">
        <f t="shared" si="18"/>
        <v>-</v>
      </c>
      <c r="C225" s="18" t="str">
        <f t="shared" si="16"/>
        <v>-</v>
      </c>
      <c r="D225" s="1" t="str">
        <f t="shared" si="15"/>
        <v/>
      </c>
      <c r="E225" s="26"/>
      <c r="K225" s="32"/>
      <c r="L225" s="30"/>
    </row>
    <row r="226" spans="1:12" s="1" customFormat="1">
      <c r="A226" s="1" t="str">
        <f t="shared" si="17"/>
        <v>-</v>
      </c>
      <c r="B226" s="3" t="str">
        <f t="shared" si="18"/>
        <v>-</v>
      </c>
      <c r="C226" s="18" t="str">
        <f t="shared" si="16"/>
        <v>-</v>
      </c>
      <c r="D226" s="1" t="str">
        <f t="shared" si="15"/>
        <v/>
      </c>
      <c r="E226" s="26"/>
      <c r="K226" s="32"/>
      <c r="L226" s="30"/>
    </row>
    <row r="227" spans="1:12" s="1" customFormat="1">
      <c r="A227" s="1" t="str">
        <f t="shared" si="17"/>
        <v>-</v>
      </c>
      <c r="B227" s="3" t="str">
        <f t="shared" si="18"/>
        <v>-</v>
      </c>
      <c r="C227" s="18" t="str">
        <f t="shared" si="16"/>
        <v>-</v>
      </c>
      <c r="D227" s="1" t="str">
        <f t="shared" si="15"/>
        <v/>
      </c>
      <c r="E227" s="26"/>
      <c r="K227" s="32"/>
      <c r="L227" s="30"/>
    </row>
    <row r="228" spans="1:12" s="1" customFormat="1">
      <c r="A228" s="1" t="str">
        <f t="shared" si="17"/>
        <v>-</v>
      </c>
      <c r="B228" s="3" t="str">
        <f t="shared" si="18"/>
        <v>-</v>
      </c>
      <c r="C228" s="18" t="str">
        <f t="shared" si="16"/>
        <v>-</v>
      </c>
      <c r="D228" s="1" t="str">
        <f t="shared" si="15"/>
        <v/>
      </c>
      <c r="E228" s="26"/>
      <c r="K228" s="32"/>
      <c r="L228" s="30"/>
    </row>
    <row r="229" spans="1:12" s="1" customFormat="1">
      <c r="A229" s="1" t="str">
        <f t="shared" si="17"/>
        <v>-</v>
      </c>
      <c r="B229" s="3" t="str">
        <f t="shared" si="18"/>
        <v>-</v>
      </c>
      <c r="C229" s="18" t="str">
        <f t="shared" si="16"/>
        <v>-</v>
      </c>
      <c r="D229" s="1" t="str">
        <f t="shared" si="15"/>
        <v/>
      </c>
      <c r="E229" s="26"/>
      <c r="K229" s="32"/>
      <c r="L229" s="30"/>
    </row>
    <row r="230" spans="1:12" s="1" customFormat="1">
      <c r="A230" s="1" t="str">
        <f t="shared" si="17"/>
        <v>-</v>
      </c>
      <c r="B230" s="3" t="str">
        <f t="shared" si="18"/>
        <v>-</v>
      </c>
      <c r="C230" s="18" t="str">
        <f t="shared" si="16"/>
        <v>-</v>
      </c>
      <c r="D230" s="1" t="str">
        <f t="shared" si="15"/>
        <v/>
      </c>
      <c r="E230" s="26"/>
      <c r="K230" s="32"/>
      <c r="L230" s="30"/>
    </row>
    <row r="231" spans="1:12" s="1" customFormat="1">
      <c r="A231" s="1" t="str">
        <f t="shared" si="17"/>
        <v>-</v>
      </c>
      <c r="B231" s="3" t="str">
        <f t="shared" si="18"/>
        <v>-</v>
      </c>
      <c r="C231" s="18" t="str">
        <f t="shared" si="16"/>
        <v>-</v>
      </c>
      <c r="D231" s="1" t="str">
        <f t="shared" si="15"/>
        <v/>
      </c>
      <c r="E231" s="26"/>
      <c r="K231" s="32"/>
      <c r="L231" s="30"/>
    </row>
    <row r="232" spans="1:12" s="1" customFormat="1">
      <c r="A232" s="1" t="str">
        <f t="shared" si="17"/>
        <v>-</v>
      </c>
      <c r="B232" s="3" t="str">
        <f t="shared" si="18"/>
        <v>-</v>
      </c>
      <c r="C232" s="18" t="str">
        <f t="shared" si="16"/>
        <v>-</v>
      </c>
      <c r="D232" s="1" t="str">
        <f t="shared" si="15"/>
        <v/>
      </c>
      <c r="E232" s="26"/>
      <c r="K232" s="32"/>
      <c r="L232" s="30"/>
    </row>
    <row r="233" spans="1:12" s="1" customFormat="1">
      <c r="A233" s="1" t="str">
        <f t="shared" si="17"/>
        <v>-</v>
      </c>
      <c r="B233" s="3" t="str">
        <f t="shared" si="18"/>
        <v>-</v>
      </c>
      <c r="C233" s="18" t="str">
        <f t="shared" si="16"/>
        <v>-</v>
      </c>
      <c r="D233" s="1" t="str">
        <f t="shared" si="15"/>
        <v/>
      </c>
      <c r="E233" s="26"/>
      <c r="K233" s="32"/>
      <c r="L233" s="30"/>
    </row>
    <row r="234" spans="1:12" s="1" customFormat="1">
      <c r="A234" s="1" t="str">
        <f t="shared" si="17"/>
        <v>-</v>
      </c>
      <c r="B234" s="3" t="str">
        <f t="shared" si="18"/>
        <v>-</v>
      </c>
      <c r="C234" s="18" t="str">
        <f t="shared" si="16"/>
        <v>-</v>
      </c>
      <c r="D234" s="1" t="str">
        <f t="shared" si="15"/>
        <v/>
      </c>
      <c r="E234" s="26"/>
      <c r="K234" s="32"/>
      <c r="L234" s="30"/>
    </row>
    <row r="235" spans="1:12" s="1" customFormat="1">
      <c r="A235" s="1" t="str">
        <f t="shared" si="17"/>
        <v>-</v>
      </c>
      <c r="B235" s="3" t="str">
        <f t="shared" si="18"/>
        <v>-</v>
      </c>
      <c r="C235" s="18" t="str">
        <f t="shared" si="16"/>
        <v>-</v>
      </c>
      <c r="D235" s="1" t="str">
        <f t="shared" si="15"/>
        <v/>
      </c>
      <c r="E235" s="26"/>
      <c r="K235" s="32"/>
      <c r="L235" s="30"/>
    </row>
    <row r="236" spans="1:12" s="1" customFormat="1">
      <c r="A236" s="1" t="str">
        <f t="shared" si="17"/>
        <v>-</v>
      </c>
      <c r="B236" s="3" t="str">
        <f t="shared" si="18"/>
        <v>-</v>
      </c>
      <c r="C236" s="18" t="str">
        <f t="shared" si="16"/>
        <v>-</v>
      </c>
      <c r="D236" s="1" t="str">
        <f t="shared" si="15"/>
        <v/>
      </c>
      <c r="E236" s="26"/>
      <c r="K236" s="32"/>
      <c r="L236" s="30"/>
    </row>
    <row r="237" spans="1:12" s="1" customFormat="1">
      <c r="A237" s="1" t="str">
        <f t="shared" si="17"/>
        <v>-</v>
      </c>
      <c r="B237" s="3" t="str">
        <f t="shared" si="18"/>
        <v>-</v>
      </c>
      <c r="C237" s="18" t="str">
        <f t="shared" si="16"/>
        <v>-</v>
      </c>
      <c r="D237" s="1" t="str">
        <f t="shared" si="15"/>
        <v/>
      </c>
      <c r="E237" s="26"/>
      <c r="K237" s="32"/>
      <c r="L237" s="30"/>
    </row>
    <row r="238" spans="1:12" s="1" customFormat="1">
      <c r="A238" s="1" t="str">
        <f t="shared" si="17"/>
        <v>-</v>
      </c>
      <c r="B238" s="3" t="str">
        <f t="shared" si="18"/>
        <v>-</v>
      </c>
      <c r="C238" s="18" t="str">
        <f t="shared" si="16"/>
        <v>-</v>
      </c>
      <c r="D238" s="1" t="str">
        <f t="shared" si="15"/>
        <v/>
      </c>
      <c r="E238" s="26"/>
      <c r="K238" s="32"/>
      <c r="L238" s="30"/>
    </row>
    <row r="239" spans="1:12" s="1" customFormat="1">
      <c r="A239" s="1" t="str">
        <f t="shared" si="17"/>
        <v>-</v>
      </c>
      <c r="B239" s="3" t="str">
        <f t="shared" si="18"/>
        <v>-</v>
      </c>
      <c r="C239" s="18" t="str">
        <f t="shared" si="16"/>
        <v>-</v>
      </c>
      <c r="D239" s="1" t="str">
        <f t="shared" si="15"/>
        <v/>
      </c>
      <c r="E239" s="26"/>
      <c r="K239" s="32"/>
      <c r="L239" s="30"/>
    </row>
    <row r="240" spans="1:12" s="1" customFormat="1">
      <c r="A240" s="1" t="str">
        <f t="shared" si="17"/>
        <v>-</v>
      </c>
      <c r="B240" s="3" t="str">
        <f t="shared" si="18"/>
        <v>-</v>
      </c>
      <c r="C240" s="18" t="str">
        <f t="shared" si="16"/>
        <v>-</v>
      </c>
      <c r="D240" s="1" t="str">
        <f t="shared" si="15"/>
        <v/>
      </c>
      <c r="E240" s="26"/>
      <c r="K240" s="32"/>
      <c r="L240" s="30"/>
    </row>
    <row r="241" spans="1:12" s="1" customFormat="1">
      <c r="A241" s="1" t="str">
        <f t="shared" si="17"/>
        <v>-</v>
      </c>
      <c r="B241" s="3" t="str">
        <f t="shared" si="18"/>
        <v>-</v>
      </c>
      <c r="C241" s="18" t="str">
        <f t="shared" si="16"/>
        <v>-</v>
      </c>
      <c r="D241" s="1" t="str">
        <f t="shared" si="15"/>
        <v/>
      </c>
      <c r="E241" s="26"/>
      <c r="K241" s="32"/>
      <c r="L241" s="30"/>
    </row>
    <row r="242" spans="1:12" s="1" customFormat="1">
      <c r="A242" s="1" t="str">
        <f t="shared" si="17"/>
        <v>-</v>
      </c>
      <c r="B242" s="3" t="str">
        <f t="shared" si="18"/>
        <v>-</v>
      </c>
      <c r="C242" s="18" t="str">
        <f t="shared" si="16"/>
        <v>-</v>
      </c>
      <c r="D242" s="1" t="str">
        <f t="shared" si="15"/>
        <v/>
      </c>
      <c r="E242" s="26"/>
      <c r="K242" s="32"/>
      <c r="L242" s="30"/>
    </row>
    <row r="243" spans="1:12" s="1" customFormat="1">
      <c r="A243" s="1" t="str">
        <f t="shared" si="17"/>
        <v>-</v>
      </c>
      <c r="B243" s="3" t="str">
        <f t="shared" si="18"/>
        <v>-</v>
      </c>
      <c r="C243" s="18" t="str">
        <f t="shared" si="16"/>
        <v>-</v>
      </c>
      <c r="D243" s="1" t="str">
        <f t="shared" si="15"/>
        <v/>
      </c>
      <c r="E243" s="26"/>
      <c r="K243" s="32"/>
      <c r="L243" s="30"/>
    </row>
    <row r="244" spans="1:12" s="1" customFormat="1">
      <c r="A244" s="1" t="str">
        <f t="shared" si="17"/>
        <v>-</v>
      </c>
      <c r="B244" s="3" t="str">
        <f t="shared" si="18"/>
        <v>-</v>
      </c>
      <c r="C244" s="18" t="str">
        <f t="shared" si="16"/>
        <v>-</v>
      </c>
      <c r="D244" s="1" t="str">
        <f t="shared" si="15"/>
        <v/>
      </c>
      <c r="E244" s="26"/>
      <c r="K244" s="32"/>
      <c r="L244" s="30"/>
    </row>
    <row r="245" spans="1:12" s="1" customFormat="1">
      <c r="A245" s="1" t="str">
        <f t="shared" si="17"/>
        <v>-</v>
      </c>
      <c r="B245" s="3" t="str">
        <f t="shared" si="18"/>
        <v>-</v>
      </c>
      <c r="C245" s="18" t="str">
        <f t="shared" si="16"/>
        <v>-</v>
      </c>
      <c r="D245" s="1" t="str">
        <f t="shared" si="15"/>
        <v/>
      </c>
      <c r="E245" s="26"/>
      <c r="K245" s="32"/>
      <c r="L245" s="30"/>
    </row>
    <row r="246" spans="1:12" s="1" customFormat="1">
      <c r="A246" s="1" t="str">
        <f t="shared" si="17"/>
        <v>-</v>
      </c>
      <c r="B246" s="3" t="str">
        <f t="shared" si="18"/>
        <v>-</v>
      </c>
      <c r="C246" s="18" t="str">
        <f t="shared" si="16"/>
        <v>-</v>
      </c>
      <c r="D246" s="1" t="str">
        <f t="shared" si="15"/>
        <v/>
      </c>
      <c r="E246" s="26"/>
      <c r="K246" s="32"/>
      <c r="L246" s="30"/>
    </row>
    <row r="247" spans="1:12" s="1" customFormat="1">
      <c r="A247" s="1" t="str">
        <f t="shared" si="17"/>
        <v>-</v>
      </c>
      <c r="B247" s="3" t="str">
        <f t="shared" si="18"/>
        <v>-</v>
      </c>
      <c r="C247" s="18" t="str">
        <f t="shared" si="16"/>
        <v>-</v>
      </c>
      <c r="D247" s="1" t="str">
        <f t="shared" si="15"/>
        <v/>
      </c>
      <c r="E247" s="26"/>
      <c r="K247" s="32"/>
      <c r="L247" s="30"/>
    </row>
    <row r="248" spans="1:12" s="1" customFormat="1">
      <c r="A248" s="1" t="str">
        <f t="shared" si="17"/>
        <v>-</v>
      </c>
      <c r="B248" s="3" t="str">
        <f t="shared" si="18"/>
        <v>-</v>
      </c>
      <c r="C248" s="18" t="str">
        <f t="shared" si="16"/>
        <v>-</v>
      </c>
      <c r="D248" s="1" t="str">
        <f t="shared" si="15"/>
        <v/>
      </c>
      <c r="E248" s="26"/>
      <c r="K248" s="32"/>
      <c r="L248" s="30"/>
    </row>
    <row r="249" spans="1:12" s="1" customFormat="1">
      <c r="A249" s="1" t="str">
        <f t="shared" si="17"/>
        <v>-</v>
      </c>
      <c r="B249" s="3" t="str">
        <f t="shared" si="18"/>
        <v>-</v>
      </c>
      <c r="C249" s="18" t="str">
        <f t="shared" si="16"/>
        <v>-</v>
      </c>
      <c r="D249" s="1" t="str">
        <f t="shared" si="15"/>
        <v/>
      </c>
      <c r="E249" s="26"/>
      <c r="K249" s="32"/>
      <c r="L249" s="30"/>
    </row>
    <row r="250" spans="1:12" s="1" customFormat="1">
      <c r="A250" s="1" t="str">
        <f t="shared" si="17"/>
        <v>-</v>
      </c>
      <c r="B250" s="3" t="str">
        <f t="shared" si="18"/>
        <v>-</v>
      </c>
      <c r="C250" s="18" t="str">
        <f t="shared" si="16"/>
        <v>-</v>
      </c>
      <c r="D250" s="1" t="str">
        <f t="shared" si="15"/>
        <v/>
      </c>
      <c r="E250" s="26"/>
      <c r="K250" s="32"/>
      <c r="L250" s="30"/>
    </row>
    <row r="251" spans="1:12" s="1" customFormat="1">
      <c r="A251" s="1" t="str">
        <f t="shared" si="17"/>
        <v>-</v>
      </c>
      <c r="B251" s="3" t="str">
        <f t="shared" si="18"/>
        <v>-</v>
      </c>
      <c r="C251" s="18" t="str">
        <f t="shared" si="16"/>
        <v>-</v>
      </c>
      <c r="D251" s="1" t="str">
        <f t="shared" si="15"/>
        <v/>
      </c>
      <c r="E251" s="26"/>
      <c r="K251" s="32"/>
      <c r="L251" s="30"/>
    </row>
    <row r="252" spans="1:12" s="1" customFormat="1">
      <c r="A252" s="1" t="str">
        <f t="shared" si="17"/>
        <v>-</v>
      </c>
      <c r="B252" s="3" t="str">
        <f t="shared" si="18"/>
        <v>-</v>
      </c>
      <c r="C252" s="18" t="str">
        <f t="shared" si="16"/>
        <v>-</v>
      </c>
      <c r="D252" s="1" t="str">
        <f t="shared" si="15"/>
        <v/>
      </c>
      <c r="E252" s="26"/>
      <c r="K252" s="32"/>
      <c r="L252" s="30"/>
    </row>
    <row r="253" spans="1:12" s="1" customFormat="1">
      <c r="A253" s="1" t="str">
        <f t="shared" si="17"/>
        <v>-</v>
      </c>
      <c r="B253" s="3" t="str">
        <f t="shared" si="18"/>
        <v>-</v>
      </c>
      <c r="C253" s="18" t="str">
        <f t="shared" si="16"/>
        <v>-</v>
      </c>
      <c r="D253" s="1" t="str">
        <f t="shared" si="15"/>
        <v/>
      </c>
      <c r="E253" s="26"/>
      <c r="K253" s="32"/>
      <c r="L253" s="30"/>
    </row>
    <row r="254" spans="1:12" s="1" customFormat="1">
      <c r="A254" s="1" t="str">
        <f t="shared" si="17"/>
        <v>-</v>
      </c>
      <c r="B254" s="3" t="str">
        <f t="shared" si="18"/>
        <v>-</v>
      </c>
      <c r="C254" s="18" t="str">
        <f t="shared" si="16"/>
        <v>-</v>
      </c>
      <c r="D254" s="1" t="str">
        <f t="shared" si="15"/>
        <v/>
      </c>
      <c r="E254" s="26"/>
      <c r="K254" s="32"/>
      <c r="L254" s="30"/>
    </row>
    <row r="255" spans="1:12" s="1" customFormat="1">
      <c r="A255" s="1" t="str">
        <f t="shared" si="17"/>
        <v>-</v>
      </c>
      <c r="B255" s="3" t="str">
        <f t="shared" si="18"/>
        <v>-</v>
      </c>
      <c r="C255" s="18" t="str">
        <f t="shared" si="16"/>
        <v>-</v>
      </c>
      <c r="D255" s="1" t="str">
        <f t="shared" si="15"/>
        <v/>
      </c>
      <c r="E255" s="26"/>
      <c r="K255" s="32"/>
      <c r="L255" s="30"/>
    </row>
    <row r="256" spans="1:12" s="1" customFormat="1">
      <c r="A256" s="1" t="str">
        <f t="shared" si="17"/>
        <v>-</v>
      </c>
      <c r="B256" s="3" t="str">
        <f t="shared" si="18"/>
        <v>-</v>
      </c>
      <c r="C256" s="18" t="str">
        <f t="shared" si="16"/>
        <v>-</v>
      </c>
      <c r="D256" s="1" t="str">
        <f t="shared" si="15"/>
        <v/>
      </c>
      <c r="E256" s="26"/>
      <c r="K256" s="32"/>
      <c r="L256" s="30"/>
    </row>
    <row r="257" spans="1:12" s="1" customFormat="1">
      <c r="A257" s="1" t="str">
        <f t="shared" si="17"/>
        <v>-</v>
      </c>
      <c r="B257" s="3" t="str">
        <f t="shared" si="18"/>
        <v>-</v>
      </c>
      <c r="C257" s="18" t="str">
        <f t="shared" si="16"/>
        <v>-</v>
      </c>
      <c r="D257" s="1" t="str">
        <f t="shared" si="15"/>
        <v/>
      </c>
      <c r="E257" s="26"/>
      <c r="K257" s="32"/>
      <c r="L257" s="30"/>
    </row>
    <row r="258" spans="1:12" s="1" customFormat="1">
      <c r="A258" s="1" t="str">
        <f t="shared" si="17"/>
        <v>-</v>
      </c>
      <c r="B258" s="3" t="str">
        <f t="shared" si="18"/>
        <v>-</v>
      </c>
      <c r="C258" s="18" t="str">
        <f t="shared" si="16"/>
        <v>-</v>
      </c>
      <c r="D258" s="1" t="str">
        <f t="shared" si="15"/>
        <v/>
      </c>
      <c r="E258" s="26"/>
      <c r="K258" s="32"/>
      <c r="L258" s="30"/>
    </row>
    <row r="259" spans="1:12" s="1" customFormat="1">
      <c r="A259" s="1" t="str">
        <f t="shared" si="17"/>
        <v>-</v>
      </c>
      <c r="B259" s="3" t="str">
        <f t="shared" si="18"/>
        <v>-</v>
      </c>
      <c r="C259" s="18" t="str">
        <f t="shared" si="16"/>
        <v>-</v>
      </c>
      <c r="D259" s="1" t="str">
        <f t="shared" si="15"/>
        <v/>
      </c>
      <c r="E259" s="26"/>
      <c r="K259" s="32"/>
      <c r="L259" s="30"/>
    </row>
    <row r="260" spans="1:12" s="1" customFormat="1">
      <c r="A260" s="1" t="str">
        <f t="shared" si="17"/>
        <v>-</v>
      </c>
      <c r="B260" s="3" t="str">
        <f t="shared" si="18"/>
        <v>-</v>
      </c>
      <c r="C260" s="18" t="str">
        <f t="shared" si="16"/>
        <v>-</v>
      </c>
      <c r="D260" s="1" t="str">
        <f t="shared" si="15"/>
        <v/>
      </c>
      <c r="E260" s="26"/>
      <c r="K260" s="32"/>
      <c r="L260" s="30"/>
    </row>
    <row r="261" spans="1:12" s="1" customFormat="1">
      <c r="A261" s="1" t="str">
        <f t="shared" si="17"/>
        <v>-</v>
      </c>
      <c r="B261" s="3" t="str">
        <f t="shared" si="18"/>
        <v>-</v>
      </c>
      <c r="C261" s="18" t="str">
        <f t="shared" si="16"/>
        <v>-</v>
      </c>
      <c r="D261" s="1" t="str">
        <f t="shared" si="15"/>
        <v/>
      </c>
      <c r="E261" s="26"/>
      <c r="K261" s="32"/>
      <c r="L261" s="30"/>
    </row>
    <row r="262" spans="1:12" s="1" customFormat="1">
      <c r="A262" s="1" t="str">
        <f t="shared" si="17"/>
        <v>-</v>
      </c>
      <c r="B262" s="3" t="str">
        <f t="shared" si="18"/>
        <v>-</v>
      </c>
      <c r="C262" s="18" t="str">
        <f t="shared" si="16"/>
        <v>-</v>
      </c>
      <c r="D262" s="1" t="str">
        <f t="shared" si="15"/>
        <v/>
      </c>
      <c r="E262" s="26"/>
      <c r="K262" s="32"/>
      <c r="L262" s="30"/>
    </row>
    <row r="263" spans="1:12" s="1" customFormat="1">
      <c r="A263" s="1" t="str">
        <f t="shared" si="17"/>
        <v>-</v>
      </c>
      <c r="B263" s="3" t="str">
        <f t="shared" si="18"/>
        <v>-</v>
      </c>
      <c r="C263" s="18" t="str">
        <f t="shared" si="16"/>
        <v>-</v>
      </c>
      <c r="D263" s="1" t="str">
        <f t="shared" si="15"/>
        <v/>
      </c>
      <c r="E263" s="26"/>
      <c r="K263" s="32"/>
      <c r="L263" s="30"/>
    </row>
    <row r="264" spans="1:12" s="1" customFormat="1">
      <c r="A264" s="1" t="str">
        <f t="shared" si="17"/>
        <v>-</v>
      </c>
      <c r="B264" s="3" t="str">
        <f t="shared" si="18"/>
        <v>-</v>
      </c>
      <c r="C264" s="18" t="str">
        <f t="shared" si="16"/>
        <v>-</v>
      </c>
      <c r="D264" s="1" t="str">
        <f t="shared" ref="D264:D327" si="19">IF(F264&lt;&gt;"",RIGHT(F264, LEN(F264) - FIND(" - ", F264) - 2),"")</f>
        <v/>
      </c>
      <c r="E264" s="26"/>
      <c r="K264" s="32"/>
      <c r="L264" s="30"/>
    </row>
    <row r="265" spans="1:12" s="1" customFormat="1">
      <c r="A265" s="1" t="str">
        <f t="shared" si="17"/>
        <v>-</v>
      </c>
      <c r="B265" s="3" t="str">
        <f t="shared" si="18"/>
        <v>-</v>
      </c>
      <c r="C265" s="18" t="str">
        <f t="shared" si="16"/>
        <v>-</v>
      </c>
      <c r="D265" s="1" t="str">
        <f t="shared" si="19"/>
        <v/>
      </c>
      <c r="E265" s="26"/>
      <c r="K265" s="32"/>
      <c r="L265" s="30"/>
    </row>
    <row r="266" spans="1:12" s="1" customFormat="1">
      <c r="A266" s="1" t="str">
        <f t="shared" si="17"/>
        <v>-</v>
      </c>
      <c r="B266" s="3" t="str">
        <f t="shared" si="18"/>
        <v>-</v>
      </c>
      <c r="C266" s="18" t="str">
        <f t="shared" si="16"/>
        <v>-</v>
      </c>
      <c r="D266" s="1" t="str">
        <f t="shared" si="19"/>
        <v/>
      </c>
      <c r="E266" s="26"/>
      <c r="K266" s="32"/>
      <c r="L266" s="30"/>
    </row>
    <row r="267" spans="1:12" s="1" customFormat="1">
      <c r="A267" s="1" t="str">
        <f t="shared" si="17"/>
        <v>-</v>
      </c>
      <c r="B267" s="3" t="str">
        <f t="shared" si="18"/>
        <v>-</v>
      </c>
      <c r="C267" s="18" t="str">
        <f t="shared" si="16"/>
        <v>-</v>
      </c>
      <c r="D267" s="1" t="str">
        <f t="shared" si="19"/>
        <v/>
      </c>
      <c r="E267" s="26"/>
      <c r="K267" s="32"/>
      <c r="L267" s="30"/>
    </row>
    <row r="268" spans="1:12" s="1" customFormat="1">
      <c r="A268" s="1" t="str">
        <f t="shared" si="17"/>
        <v>-</v>
      </c>
      <c r="B268" s="3" t="str">
        <f t="shared" si="18"/>
        <v>-</v>
      </c>
      <c r="C268" s="18" t="str">
        <f t="shared" si="16"/>
        <v>-</v>
      </c>
      <c r="D268" s="1" t="str">
        <f t="shared" si="19"/>
        <v/>
      </c>
      <c r="E268" s="26"/>
      <c r="K268" s="32"/>
      <c r="L268" s="30"/>
    </row>
    <row r="269" spans="1:12" s="1" customFormat="1">
      <c r="A269" s="1" t="str">
        <f t="shared" si="17"/>
        <v>-</v>
      </c>
      <c r="B269" s="3" t="str">
        <f t="shared" si="18"/>
        <v>-</v>
      </c>
      <c r="C269" s="18" t="str">
        <f t="shared" si="16"/>
        <v>-</v>
      </c>
      <c r="D269" s="1" t="str">
        <f t="shared" si="19"/>
        <v/>
      </c>
      <c r="E269" s="26"/>
      <c r="K269" s="32"/>
      <c r="L269" s="30"/>
    </row>
    <row r="270" spans="1:12" s="1" customFormat="1">
      <c r="A270" s="1" t="str">
        <f t="shared" si="17"/>
        <v>-</v>
      </c>
      <c r="B270" s="3" t="str">
        <f t="shared" si="18"/>
        <v>-</v>
      </c>
      <c r="C270" s="18" t="str">
        <f t="shared" si="16"/>
        <v>-</v>
      </c>
      <c r="D270" s="1" t="str">
        <f t="shared" si="19"/>
        <v/>
      </c>
      <c r="E270" s="26"/>
      <c r="K270" s="32"/>
      <c r="L270" s="30"/>
    </row>
    <row r="271" spans="1:12" s="1" customFormat="1">
      <c r="A271" s="1" t="str">
        <f t="shared" si="17"/>
        <v>-</v>
      </c>
      <c r="B271" s="3" t="str">
        <f t="shared" si="18"/>
        <v>-</v>
      </c>
      <c r="C271" s="18" t="str">
        <f t="shared" si="16"/>
        <v>-</v>
      </c>
      <c r="D271" s="1" t="str">
        <f t="shared" si="19"/>
        <v/>
      </c>
      <c r="E271" s="26"/>
      <c r="K271" s="32"/>
      <c r="L271" s="30"/>
    </row>
    <row r="272" spans="1:12" s="1" customFormat="1">
      <c r="A272" s="1" t="str">
        <f t="shared" si="17"/>
        <v>-</v>
      </c>
      <c r="B272" s="3" t="str">
        <f t="shared" si="18"/>
        <v>-</v>
      </c>
      <c r="C272" s="18" t="str">
        <f t="shared" si="16"/>
        <v>-</v>
      </c>
      <c r="D272" s="1" t="str">
        <f t="shared" si="19"/>
        <v/>
      </c>
      <c r="E272" s="26"/>
      <c r="K272" s="32"/>
      <c r="L272" s="30"/>
    </row>
    <row r="273" spans="1:12" s="1" customFormat="1">
      <c r="A273" s="1" t="str">
        <f t="shared" si="17"/>
        <v>-</v>
      </c>
      <c r="B273" s="3" t="str">
        <f t="shared" si="18"/>
        <v>-</v>
      </c>
      <c r="C273" s="18" t="str">
        <f t="shared" ref="C273:C286" si="20">IF(F273&lt;&gt;"", LEFT(RIGHT(F273, LEN(F273) - FIND("N°", F273) - 1), FIND(" ", RIGHT(F273, LEN(F273) - FIND("N°", F273) - 1) &amp; " ") - 1), "-")</f>
        <v>-</v>
      </c>
      <c r="D273" s="1" t="str">
        <f t="shared" si="19"/>
        <v/>
      </c>
      <c r="E273" s="26"/>
      <c r="K273" s="32"/>
      <c r="L273" s="30"/>
    </row>
    <row r="274" spans="1:12" s="1" customFormat="1">
      <c r="A274" s="1" t="str">
        <f t="shared" si="17"/>
        <v>-</v>
      </c>
      <c r="B274" s="3" t="str">
        <f t="shared" si="18"/>
        <v>-</v>
      </c>
      <c r="C274" s="18" t="str">
        <f t="shared" si="20"/>
        <v>-</v>
      </c>
      <c r="D274" s="1" t="str">
        <f t="shared" si="19"/>
        <v/>
      </c>
      <c r="E274" s="26"/>
      <c r="K274" s="32"/>
      <c r="L274" s="30"/>
    </row>
    <row r="275" spans="1:12" s="1" customFormat="1">
      <c r="A275" s="1" t="str">
        <f t="shared" si="17"/>
        <v>-</v>
      </c>
      <c r="B275" s="3" t="str">
        <f t="shared" si="18"/>
        <v>-</v>
      </c>
      <c r="C275" s="18" t="str">
        <f t="shared" si="20"/>
        <v>-</v>
      </c>
      <c r="D275" s="1" t="str">
        <f t="shared" si="19"/>
        <v/>
      </c>
      <c r="E275" s="26"/>
      <c r="K275" s="32"/>
      <c r="L275" s="30"/>
    </row>
    <row r="276" spans="1:12" s="1" customFormat="1">
      <c r="A276" s="1" t="str">
        <f t="shared" si="17"/>
        <v>-</v>
      </c>
      <c r="B276" s="3" t="str">
        <f t="shared" si="18"/>
        <v>-</v>
      </c>
      <c r="C276" s="18" t="str">
        <f t="shared" si="20"/>
        <v>-</v>
      </c>
      <c r="D276" s="1" t="str">
        <f t="shared" si="19"/>
        <v/>
      </c>
      <c r="E276" s="26"/>
      <c r="K276" s="32"/>
      <c r="L276" s="30"/>
    </row>
    <row r="277" spans="1:12" s="1" customFormat="1">
      <c r="A277" s="1" t="str">
        <f t="shared" ref="A277:A286" si="21">IF(E277&lt;&gt;"",TEXT(E277, "hh:mm"),"-")</f>
        <v>-</v>
      </c>
      <c r="B277" s="3" t="str">
        <f t="shared" ref="B277:B286" si="22">IF(E277&lt;&gt;"",DATE(YEAR(E277),MONTH(E277), DAY(E277)),"-")</f>
        <v>-</v>
      </c>
      <c r="C277" s="18" t="str">
        <f t="shared" si="20"/>
        <v>-</v>
      </c>
      <c r="D277" s="1" t="str">
        <f t="shared" si="19"/>
        <v/>
      </c>
      <c r="E277" s="26"/>
      <c r="K277" s="32"/>
      <c r="L277" s="30"/>
    </row>
    <row r="278" spans="1:12" s="1" customFormat="1">
      <c r="A278" s="1" t="str">
        <f t="shared" si="21"/>
        <v>-</v>
      </c>
      <c r="B278" s="3" t="str">
        <f t="shared" si="22"/>
        <v>-</v>
      </c>
      <c r="C278" s="18" t="str">
        <f t="shared" si="20"/>
        <v>-</v>
      </c>
      <c r="D278" s="1" t="str">
        <f t="shared" si="19"/>
        <v/>
      </c>
      <c r="E278" s="26"/>
      <c r="K278" s="32"/>
      <c r="L278" s="30"/>
    </row>
    <row r="279" spans="1:12" s="1" customFormat="1">
      <c r="A279" s="1" t="str">
        <f t="shared" si="21"/>
        <v>-</v>
      </c>
      <c r="B279" s="3" t="str">
        <f t="shared" si="22"/>
        <v>-</v>
      </c>
      <c r="C279" s="18" t="str">
        <f t="shared" si="20"/>
        <v>-</v>
      </c>
      <c r="D279" s="1" t="str">
        <f t="shared" si="19"/>
        <v/>
      </c>
      <c r="E279" s="26"/>
      <c r="K279" s="32"/>
      <c r="L279" s="30"/>
    </row>
    <row r="280" spans="1:12" s="1" customFormat="1">
      <c r="A280" s="1" t="str">
        <f t="shared" si="21"/>
        <v>-</v>
      </c>
      <c r="B280" s="3" t="str">
        <f t="shared" si="22"/>
        <v>-</v>
      </c>
      <c r="C280" s="18" t="str">
        <f t="shared" si="20"/>
        <v>-</v>
      </c>
      <c r="D280" s="1" t="str">
        <f t="shared" si="19"/>
        <v/>
      </c>
      <c r="E280" s="26"/>
      <c r="K280" s="32"/>
      <c r="L280" s="30"/>
    </row>
    <row r="281" spans="1:12" s="1" customFormat="1">
      <c r="A281" s="1" t="str">
        <f t="shared" si="21"/>
        <v>-</v>
      </c>
      <c r="B281" s="3" t="str">
        <f t="shared" si="22"/>
        <v>-</v>
      </c>
      <c r="C281" s="18" t="str">
        <f t="shared" si="20"/>
        <v>-</v>
      </c>
      <c r="D281" s="1" t="str">
        <f t="shared" si="19"/>
        <v/>
      </c>
      <c r="E281" s="26"/>
      <c r="K281" s="32"/>
      <c r="L281" s="30"/>
    </row>
    <row r="282" spans="1:12" s="1" customFormat="1">
      <c r="A282" s="1" t="str">
        <f t="shared" si="21"/>
        <v>-</v>
      </c>
      <c r="B282" s="3" t="str">
        <f t="shared" si="22"/>
        <v>-</v>
      </c>
      <c r="C282" s="18" t="str">
        <f t="shared" si="20"/>
        <v>-</v>
      </c>
      <c r="D282" s="1" t="str">
        <f t="shared" si="19"/>
        <v/>
      </c>
      <c r="E282" s="26"/>
      <c r="K282" s="32"/>
      <c r="L282" s="30"/>
    </row>
    <row r="283" spans="1:12" s="1" customFormat="1">
      <c r="A283" s="1" t="str">
        <f t="shared" si="21"/>
        <v>-</v>
      </c>
      <c r="B283" s="3" t="str">
        <f t="shared" si="22"/>
        <v>-</v>
      </c>
      <c r="C283" s="18" t="str">
        <f t="shared" si="20"/>
        <v>-</v>
      </c>
      <c r="D283" s="1" t="str">
        <f t="shared" si="19"/>
        <v/>
      </c>
      <c r="E283" s="26"/>
      <c r="K283" s="32"/>
      <c r="L283" s="30"/>
    </row>
    <row r="284" spans="1:12" s="1" customFormat="1">
      <c r="A284" s="1" t="str">
        <f t="shared" si="21"/>
        <v>-</v>
      </c>
      <c r="B284" s="3" t="str">
        <f t="shared" si="22"/>
        <v>-</v>
      </c>
      <c r="C284" s="18" t="str">
        <f t="shared" si="20"/>
        <v>-</v>
      </c>
      <c r="D284" s="1" t="str">
        <f t="shared" si="19"/>
        <v/>
      </c>
      <c r="E284" s="26"/>
      <c r="K284" s="32"/>
      <c r="L284" s="30"/>
    </row>
    <row r="285" spans="1:12" s="1" customFormat="1">
      <c r="A285" s="1" t="str">
        <f t="shared" si="21"/>
        <v>-</v>
      </c>
      <c r="B285" s="3" t="str">
        <f t="shared" si="22"/>
        <v>-</v>
      </c>
      <c r="C285" s="18" t="str">
        <f t="shared" si="20"/>
        <v>-</v>
      </c>
      <c r="D285" s="1" t="str">
        <f t="shared" si="19"/>
        <v/>
      </c>
      <c r="E285" s="26"/>
      <c r="K285" s="32"/>
      <c r="L285" s="30"/>
    </row>
    <row r="286" spans="1:12" s="1" customFormat="1">
      <c r="A286" s="1" t="str">
        <f t="shared" si="21"/>
        <v>-</v>
      </c>
      <c r="B286" s="3" t="str">
        <f t="shared" si="22"/>
        <v>-</v>
      </c>
      <c r="C286" s="18" t="str">
        <f t="shared" si="20"/>
        <v>-</v>
      </c>
      <c r="D286" s="1" t="str">
        <f t="shared" si="19"/>
        <v/>
      </c>
      <c r="E286" s="26"/>
      <c r="K286" s="32"/>
      <c r="L286" s="30"/>
    </row>
    <row r="287" spans="1:12" s="1" customFormat="1">
      <c r="D287" s="1" t="str">
        <f t="shared" si="19"/>
        <v/>
      </c>
      <c r="E287" s="26"/>
      <c r="K287" s="32"/>
      <c r="L287" s="30"/>
    </row>
    <row r="288" spans="1:12" s="1" customFormat="1">
      <c r="D288" s="1" t="str">
        <f t="shared" si="19"/>
        <v/>
      </c>
      <c r="E288" s="26"/>
      <c r="K288" s="32"/>
      <c r="L288" s="30"/>
    </row>
    <row r="289" spans="4:12" s="1" customFormat="1">
      <c r="D289" s="1" t="str">
        <f t="shared" si="19"/>
        <v/>
      </c>
      <c r="E289" s="26"/>
      <c r="K289" s="32"/>
      <c r="L289" s="30"/>
    </row>
    <row r="290" spans="4:12" s="1" customFormat="1">
      <c r="D290" s="1" t="str">
        <f t="shared" si="19"/>
        <v/>
      </c>
      <c r="E290" s="26"/>
      <c r="K290" s="32"/>
      <c r="L290" s="30"/>
    </row>
    <row r="291" spans="4:12" s="1" customFormat="1">
      <c r="D291" s="1" t="str">
        <f t="shared" si="19"/>
        <v/>
      </c>
      <c r="E291" s="26"/>
      <c r="K291" s="32"/>
      <c r="L291" s="30"/>
    </row>
    <row r="292" spans="4:12" s="1" customFormat="1">
      <c r="D292" s="1" t="str">
        <f t="shared" si="19"/>
        <v/>
      </c>
      <c r="E292" s="26"/>
      <c r="K292" s="32"/>
      <c r="L292" s="30"/>
    </row>
    <row r="293" spans="4:12" s="1" customFormat="1">
      <c r="D293" s="1" t="str">
        <f t="shared" si="19"/>
        <v/>
      </c>
      <c r="E293" s="26"/>
      <c r="K293" s="32"/>
      <c r="L293" s="30"/>
    </row>
    <row r="294" spans="4:12" s="1" customFormat="1">
      <c r="D294" s="1" t="str">
        <f t="shared" si="19"/>
        <v/>
      </c>
      <c r="E294" s="26"/>
      <c r="K294" s="32"/>
      <c r="L294" s="30"/>
    </row>
    <row r="295" spans="4:12" s="1" customFormat="1">
      <c r="D295" s="1" t="str">
        <f t="shared" si="19"/>
        <v/>
      </c>
      <c r="E295" s="26"/>
      <c r="K295" s="32"/>
      <c r="L295" s="30"/>
    </row>
    <row r="296" spans="4:12" s="1" customFormat="1">
      <c r="D296" s="1" t="str">
        <f t="shared" si="19"/>
        <v/>
      </c>
      <c r="E296" s="26"/>
      <c r="K296" s="32"/>
      <c r="L296" s="30"/>
    </row>
    <row r="297" spans="4:12" s="1" customFormat="1">
      <c r="D297" s="1" t="str">
        <f t="shared" si="19"/>
        <v/>
      </c>
      <c r="E297" s="26"/>
      <c r="K297" s="32"/>
      <c r="L297" s="30"/>
    </row>
    <row r="298" spans="4:12" s="1" customFormat="1">
      <c r="D298" s="1" t="str">
        <f t="shared" si="19"/>
        <v/>
      </c>
      <c r="E298" s="26"/>
      <c r="K298" s="32"/>
      <c r="L298" s="30"/>
    </row>
    <row r="299" spans="4:12" s="1" customFormat="1">
      <c r="D299" s="1" t="str">
        <f t="shared" si="19"/>
        <v/>
      </c>
      <c r="E299" s="26"/>
      <c r="K299" s="32"/>
      <c r="L299" s="30"/>
    </row>
    <row r="300" spans="4:12" s="1" customFormat="1">
      <c r="D300" s="1" t="str">
        <f t="shared" si="19"/>
        <v/>
      </c>
      <c r="E300" s="26"/>
      <c r="K300" s="32"/>
      <c r="L300" s="30"/>
    </row>
    <row r="301" spans="4:12" s="1" customFormat="1">
      <c r="D301" s="1" t="str">
        <f t="shared" si="19"/>
        <v/>
      </c>
      <c r="E301" s="26"/>
      <c r="K301" s="32"/>
      <c r="L301" s="30"/>
    </row>
    <row r="302" spans="4:12" s="1" customFormat="1">
      <c r="D302" s="1" t="str">
        <f t="shared" si="19"/>
        <v/>
      </c>
      <c r="E302" s="26"/>
      <c r="K302" s="32"/>
      <c r="L302" s="30"/>
    </row>
    <row r="303" spans="4:12" s="1" customFormat="1">
      <c r="D303" s="1" t="str">
        <f t="shared" si="19"/>
        <v/>
      </c>
      <c r="E303" s="26"/>
      <c r="K303" s="32"/>
      <c r="L303" s="30"/>
    </row>
    <row r="304" spans="4:12" s="1" customFormat="1">
      <c r="D304" s="1" t="str">
        <f t="shared" si="19"/>
        <v/>
      </c>
      <c r="E304" s="26"/>
      <c r="K304" s="32"/>
      <c r="L304" s="30"/>
    </row>
    <row r="305" spans="4:12" s="1" customFormat="1">
      <c r="D305" s="1" t="str">
        <f t="shared" si="19"/>
        <v/>
      </c>
      <c r="E305" s="26"/>
      <c r="K305" s="32"/>
      <c r="L305" s="30"/>
    </row>
    <row r="306" spans="4:12" s="1" customFormat="1">
      <c r="D306" s="1" t="str">
        <f t="shared" si="19"/>
        <v/>
      </c>
      <c r="E306" s="26"/>
      <c r="K306" s="32"/>
      <c r="L306" s="30"/>
    </row>
    <row r="307" spans="4:12" s="1" customFormat="1">
      <c r="D307" s="1" t="str">
        <f t="shared" si="19"/>
        <v/>
      </c>
      <c r="E307" s="26"/>
      <c r="K307" s="32"/>
      <c r="L307" s="30"/>
    </row>
    <row r="308" spans="4:12" s="1" customFormat="1">
      <c r="D308" s="1" t="str">
        <f t="shared" si="19"/>
        <v/>
      </c>
      <c r="E308" s="26"/>
      <c r="K308" s="32"/>
      <c r="L308" s="30"/>
    </row>
    <row r="309" spans="4:12" s="1" customFormat="1">
      <c r="D309" s="1" t="str">
        <f t="shared" si="19"/>
        <v/>
      </c>
      <c r="E309" s="26"/>
      <c r="K309" s="32"/>
      <c r="L309" s="30"/>
    </row>
    <row r="310" spans="4:12" s="1" customFormat="1">
      <c r="D310" s="1" t="str">
        <f t="shared" si="19"/>
        <v/>
      </c>
      <c r="E310" s="26"/>
      <c r="K310" s="32"/>
      <c r="L310" s="30"/>
    </row>
    <row r="311" spans="4:12" s="1" customFormat="1">
      <c r="D311" s="1" t="str">
        <f t="shared" si="19"/>
        <v/>
      </c>
      <c r="E311" s="26"/>
      <c r="K311" s="32"/>
      <c r="L311" s="30"/>
    </row>
    <row r="312" spans="4:12" s="1" customFormat="1">
      <c r="D312" s="1" t="str">
        <f t="shared" si="19"/>
        <v/>
      </c>
      <c r="E312" s="26"/>
      <c r="K312" s="32"/>
      <c r="L312" s="30"/>
    </row>
    <row r="313" spans="4:12" s="1" customFormat="1">
      <c r="D313" s="1" t="str">
        <f t="shared" si="19"/>
        <v/>
      </c>
      <c r="E313" s="26"/>
      <c r="K313" s="32"/>
      <c r="L313" s="30"/>
    </row>
    <row r="314" spans="4:12" s="1" customFormat="1">
      <c r="D314" s="1" t="str">
        <f t="shared" si="19"/>
        <v/>
      </c>
      <c r="E314" s="26"/>
      <c r="K314" s="32"/>
      <c r="L314" s="30"/>
    </row>
    <row r="315" spans="4:12" s="1" customFormat="1">
      <c r="D315" s="1" t="str">
        <f t="shared" si="19"/>
        <v/>
      </c>
      <c r="E315" s="26"/>
      <c r="K315" s="32"/>
      <c r="L315" s="30"/>
    </row>
    <row r="316" spans="4:12" s="1" customFormat="1">
      <c r="D316" s="1" t="str">
        <f t="shared" si="19"/>
        <v/>
      </c>
      <c r="E316" s="26"/>
      <c r="K316" s="32"/>
      <c r="L316" s="30"/>
    </row>
    <row r="317" spans="4:12" s="1" customFormat="1">
      <c r="D317" s="1" t="str">
        <f t="shared" si="19"/>
        <v/>
      </c>
      <c r="E317" s="26"/>
      <c r="K317" s="32"/>
      <c r="L317" s="30"/>
    </row>
    <row r="318" spans="4:12" s="1" customFormat="1">
      <c r="D318" s="1" t="str">
        <f t="shared" si="19"/>
        <v/>
      </c>
      <c r="E318" s="26"/>
      <c r="K318" s="32"/>
      <c r="L318" s="30"/>
    </row>
    <row r="319" spans="4:12" s="1" customFormat="1">
      <c r="D319" s="1" t="str">
        <f t="shared" si="19"/>
        <v/>
      </c>
      <c r="E319" s="26"/>
      <c r="K319" s="32"/>
      <c r="L319" s="30"/>
    </row>
    <row r="320" spans="4:12" s="1" customFormat="1">
      <c r="D320" s="1" t="str">
        <f t="shared" si="19"/>
        <v/>
      </c>
      <c r="E320" s="26"/>
      <c r="K320" s="32"/>
      <c r="L320" s="30"/>
    </row>
    <row r="321" spans="4:12" s="1" customFormat="1">
      <c r="D321" s="1" t="str">
        <f t="shared" si="19"/>
        <v/>
      </c>
      <c r="E321" s="26"/>
      <c r="K321" s="32"/>
      <c r="L321" s="30"/>
    </row>
    <row r="322" spans="4:12" s="1" customFormat="1">
      <c r="D322" s="1" t="str">
        <f t="shared" si="19"/>
        <v/>
      </c>
      <c r="E322" s="26"/>
      <c r="K322" s="32"/>
      <c r="L322" s="30"/>
    </row>
    <row r="323" spans="4:12" s="1" customFormat="1">
      <c r="D323" s="1" t="str">
        <f t="shared" si="19"/>
        <v/>
      </c>
      <c r="E323" s="26"/>
      <c r="K323" s="32"/>
      <c r="L323" s="30"/>
    </row>
    <row r="324" spans="4:12" s="1" customFormat="1">
      <c r="D324" s="1" t="str">
        <f t="shared" si="19"/>
        <v/>
      </c>
      <c r="E324" s="26"/>
      <c r="K324" s="32"/>
      <c r="L324" s="30"/>
    </row>
    <row r="325" spans="4:12" s="1" customFormat="1">
      <c r="D325" s="1" t="str">
        <f t="shared" si="19"/>
        <v/>
      </c>
      <c r="E325" s="26"/>
      <c r="K325" s="32"/>
      <c r="L325" s="30"/>
    </row>
    <row r="326" spans="4:12" s="1" customFormat="1">
      <c r="D326" s="1" t="str">
        <f t="shared" si="19"/>
        <v/>
      </c>
      <c r="E326" s="26"/>
      <c r="K326" s="32"/>
      <c r="L326" s="30"/>
    </row>
    <row r="327" spans="4:12" s="1" customFormat="1">
      <c r="D327" s="1" t="str">
        <f t="shared" si="19"/>
        <v/>
      </c>
      <c r="E327" s="26"/>
      <c r="K327" s="32"/>
      <c r="L327" s="30"/>
    </row>
    <row r="328" spans="4:12" s="1" customFormat="1">
      <c r="D328" s="1" t="str">
        <f t="shared" ref="D328:D391" si="23">IF(F328&lt;&gt;"",RIGHT(F328, LEN(F328) - FIND(" - ", F328) - 2),"")</f>
        <v/>
      </c>
      <c r="E328" s="26"/>
      <c r="K328" s="32"/>
      <c r="L328" s="30"/>
    </row>
    <row r="329" spans="4:12" s="1" customFormat="1">
      <c r="D329" s="1" t="str">
        <f t="shared" si="23"/>
        <v/>
      </c>
      <c r="E329" s="26"/>
      <c r="K329" s="32"/>
      <c r="L329" s="30"/>
    </row>
    <row r="330" spans="4:12" s="1" customFormat="1">
      <c r="D330" s="1" t="str">
        <f t="shared" si="23"/>
        <v/>
      </c>
      <c r="E330" s="26"/>
      <c r="K330" s="32"/>
      <c r="L330" s="30"/>
    </row>
    <row r="331" spans="4:12" s="1" customFormat="1">
      <c r="D331" s="1" t="str">
        <f t="shared" si="23"/>
        <v/>
      </c>
      <c r="E331" s="26"/>
      <c r="K331" s="32"/>
      <c r="L331" s="30"/>
    </row>
    <row r="332" spans="4:12" s="1" customFormat="1">
      <c r="D332" s="1" t="str">
        <f t="shared" si="23"/>
        <v/>
      </c>
      <c r="E332" s="26"/>
      <c r="K332" s="32"/>
      <c r="L332" s="30"/>
    </row>
    <row r="333" spans="4:12" s="1" customFormat="1">
      <c r="D333" s="1" t="str">
        <f t="shared" si="23"/>
        <v/>
      </c>
      <c r="E333" s="26"/>
      <c r="K333" s="32"/>
      <c r="L333" s="30"/>
    </row>
    <row r="334" spans="4:12" s="1" customFormat="1">
      <c r="D334" s="1" t="str">
        <f t="shared" si="23"/>
        <v/>
      </c>
      <c r="E334" s="26"/>
      <c r="K334" s="32"/>
      <c r="L334" s="30"/>
    </row>
    <row r="335" spans="4:12" s="1" customFormat="1">
      <c r="D335" s="1" t="str">
        <f t="shared" si="23"/>
        <v/>
      </c>
      <c r="E335" s="26"/>
      <c r="K335" s="32"/>
      <c r="L335" s="30"/>
    </row>
    <row r="336" spans="4:12" s="1" customFormat="1">
      <c r="D336" s="1" t="str">
        <f t="shared" si="23"/>
        <v/>
      </c>
      <c r="E336" s="26"/>
      <c r="K336" s="32"/>
      <c r="L336" s="30"/>
    </row>
    <row r="337" spans="4:12" s="1" customFormat="1">
      <c r="D337" s="1" t="str">
        <f t="shared" si="23"/>
        <v/>
      </c>
      <c r="E337" s="26"/>
      <c r="K337" s="32"/>
      <c r="L337" s="30"/>
    </row>
    <row r="338" spans="4:12" s="1" customFormat="1">
      <c r="D338" s="1" t="str">
        <f t="shared" si="23"/>
        <v/>
      </c>
      <c r="E338" s="26"/>
      <c r="K338" s="32"/>
      <c r="L338" s="30"/>
    </row>
    <row r="339" spans="4:12" s="1" customFormat="1">
      <c r="D339" s="1" t="str">
        <f t="shared" si="23"/>
        <v/>
      </c>
      <c r="E339" s="26"/>
      <c r="K339" s="32"/>
      <c r="L339" s="30"/>
    </row>
    <row r="340" spans="4:12" s="1" customFormat="1">
      <c r="D340" s="1" t="str">
        <f t="shared" si="23"/>
        <v/>
      </c>
      <c r="E340" s="26"/>
      <c r="K340" s="32"/>
      <c r="L340" s="30"/>
    </row>
    <row r="341" spans="4:12" s="1" customFormat="1">
      <c r="D341" s="1" t="str">
        <f t="shared" si="23"/>
        <v/>
      </c>
      <c r="E341" s="26"/>
      <c r="K341" s="32"/>
      <c r="L341" s="30"/>
    </row>
    <row r="342" spans="4:12" s="1" customFormat="1">
      <c r="D342" s="1" t="str">
        <f t="shared" si="23"/>
        <v/>
      </c>
      <c r="E342" s="26"/>
      <c r="K342" s="32"/>
      <c r="L342" s="30"/>
    </row>
    <row r="343" spans="4:12" s="1" customFormat="1">
      <c r="D343" s="1" t="str">
        <f t="shared" si="23"/>
        <v/>
      </c>
      <c r="E343" s="26"/>
      <c r="K343" s="32"/>
      <c r="L343" s="30"/>
    </row>
    <row r="344" spans="4:12" s="1" customFormat="1">
      <c r="D344" s="1" t="str">
        <f t="shared" si="23"/>
        <v/>
      </c>
      <c r="E344" s="26"/>
      <c r="K344" s="32"/>
      <c r="L344" s="30"/>
    </row>
    <row r="345" spans="4:12" s="1" customFormat="1">
      <c r="D345" s="1" t="str">
        <f t="shared" si="23"/>
        <v/>
      </c>
      <c r="E345" s="26"/>
      <c r="K345" s="32"/>
      <c r="L345" s="30"/>
    </row>
    <row r="346" spans="4:12" s="1" customFormat="1">
      <c r="D346" s="1" t="str">
        <f t="shared" si="23"/>
        <v/>
      </c>
      <c r="E346" s="26"/>
      <c r="K346" s="32"/>
      <c r="L346" s="30"/>
    </row>
    <row r="347" spans="4:12" s="1" customFormat="1">
      <c r="D347" s="1" t="str">
        <f t="shared" si="23"/>
        <v/>
      </c>
      <c r="E347" s="26"/>
      <c r="K347" s="32"/>
      <c r="L347" s="30"/>
    </row>
    <row r="348" spans="4:12" s="1" customFormat="1">
      <c r="D348" s="1" t="str">
        <f t="shared" si="23"/>
        <v/>
      </c>
      <c r="E348" s="26"/>
      <c r="K348" s="32"/>
      <c r="L348" s="30"/>
    </row>
    <row r="349" spans="4:12" s="1" customFormat="1">
      <c r="D349" s="1" t="str">
        <f t="shared" si="23"/>
        <v/>
      </c>
      <c r="E349" s="26"/>
      <c r="K349" s="32"/>
      <c r="L349" s="30"/>
    </row>
    <row r="350" spans="4:12" s="1" customFormat="1">
      <c r="D350" s="1" t="str">
        <f t="shared" si="23"/>
        <v/>
      </c>
      <c r="E350" s="26"/>
      <c r="K350" s="32"/>
      <c r="L350" s="30"/>
    </row>
    <row r="351" spans="4:12" s="1" customFormat="1">
      <c r="D351" s="1" t="str">
        <f t="shared" si="23"/>
        <v/>
      </c>
      <c r="E351" s="26"/>
      <c r="K351" s="32"/>
      <c r="L351" s="30"/>
    </row>
    <row r="352" spans="4:12" s="1" customFormat="1">
      <c r="D352" s="1" t="str">
        <f t="shared" si="23"/>
        <v/>
      </c>
      <c r="E352" s="26"/>
      <c r="K352" s="32"/>
      <c r="L352" s="30"/>
    </row>
    <row r="353" spans="4:12" s="1" customFormat="1">
      <c r="D353" s="1" t="str">
        <f t="shared" si="23"/>
        <v/>
      </c>
      <c r="E353" s="26"/>
      <c r="K353" s="32"/>
      <c r="L353" s="30"/>
    </row>
    <row r="354" spans="4:12" s="1" customFormat="1">
      <c r="D354" s="1" t="str">
        <f t="shared" si="23"/>
        <v/>
      </c>
      <c r="E354" s="26"/>
      <c r="K354" s="32"/>
      <c r="L354" s="30"/>
    </row>
    <row r="355" spans="4:12" s="1" customFormat="1">
      <c r="D355" s="1" t="str">
        <f t="shared" si="23"/>
        <v/>
      </c>
      <c r="E355" s="26"/>
      <c r="K355" s="32"/>
      <c r="L355" s="30"/>
    </row>
    <row r="356" spans="4:12" s="1" customFormat="1">
      <c r="D356" s="1" t="str">
        <f t="shared" si="23"/>
        <v/>
      </c>
      <c r="E356" s="26"/>
      <c r="K356" s="32"/>
      <c r="L356" s="30"/>
    </row>
    <row r="357" spans="4:12" s="1" customFormat="1">
      <c r="D357" s="1" t="str">
        <f t="shared" si="23"/>
        <v/>
      </c>
      <c r="E357" s="26"/>
      <c r="K357" s="32"/>
      <c r="L357" s="30"/>
    </row>
    <row r="358" spans="4:12" s="1" customFormat="1">
      <c r="D358" s="1" t="str">
        <f t="shared" si="23"/>
        <v/>
      </c>
      <c r="E358" s="26"/>
      <c r="K358" s="32"/>
      <c r="L358" s="30"/>
    </row>
    <row r="359" spans="4:12" s="1" customFormat="1">
      <c r="D359" s="1" t="str">
        <f t="shared" si="23"/>
        <v/>
      </c>
      <c r="E359" s="26"/>
      <c r="K359" s="32"/>
      <c r="L359" s="30"/>
    </row>
    <row r="360" spans="4:12" s="1" customFormat="1">
      <c r="D360" s="1" t="str">
        <f t="shared" si="23"/>
        <v/>
      </c>
      <c r="E360" s="26"/>
      <c r="K360" s="32"/>
      <c r="L360" s="30"/>
    </row>
    <row r="361" spans="4:12" s="1" customFormat="1">
      <c r="D361" s="1" t="str">
        <f t="shared" si="23"/>
        <v/>
      </c>
      <c r="E361" s="26"/>
      <c r="K361" s="32"/>
      <c r="L361" s="30"/>
    </row>
    <row r="362" spans="4:12" s="1" customFormat="1">
      <c r="D362" s="1" t="str">
        <f t="shared" si="23"/>
        <v/>
      </c>
      <c r="E362" s="26"/>
      <c r="K362" s="32"/>
      <c r="L362" s="30"/>
    </row>
    <row r="363" spans="4:12" s="1" customFormat="1">
      <c r="D363" s="1" t="str">
        <f t="shared" si="23"/>
        <v/>
      </c>
      <c r="E363" s="26"/>
      <c r="K363" s="32"/>
      <c r="L363" s="30"/>
    </row>
    <row r="364" spans="4:12" s="1" customFormat="1">
      <c r="D364" s="1" t="str">
        <f t="shared" si="23"/>
        <v/>
      </c>
      <c r="E364" s="26"/>
      <c r="K364" s="32"/>
      <c r="L364" s="30"/>
    </row>
    <row r="365" spans="4:12" s="1" customFormat="1">
      <c r="D365" s="1" t="str">
        <f t="shared" si="23"/>
        <v/>
      </c>
      <c r="E365" s="26"/>
      <c r="K365" s="32"/>
      <c r="L365" s="30"/>
    </row>
    <row r="366" spans="4:12" s="1" customFormat="1">
      <c r="D366" s="1" t="str">
        <f t="shared" si="23"/>
        <v/>
      </c>
      <c r="E366" s="26"/>
      <c r="K366" s="32"/>
      <c r="L366" s="30"/>
    </row>
    <row r="367" spans="4:12" s="1" customFormat="1">
      <c r="D367" s="1" t="str">
        <f t="shared" si="23"/>
        <v/>
      </c>
      <c r="E367" s="26"/>
      <c r="K367" s="32"/>
      <c r="L367" s="30"/>
    </row>
    <row r="368" spans="4:12" s="1" customFormat="1">
      <c r="D368" s="1" t="str">
        <f t="shared" si="23"/>
        <v/>
      </c>
      <c r="E368" s="26"/>
      <c r="K368" s="32"/>
      <c r="L368" s="30"/>
    </row>
    <row r="369" spans="4:12" s="1" customFormat="1">
      <c r="D369" s="1" t="str">
        <f t="shared" si="23"/>
        <v/>
      </c>
      <c r="E369" s="26"/>
      <c r="K369" s="32"/>
      <c r="L369" s="30"/>
    </row>
    <row r="370" spans="4:12" s="1" customFormat="1">
      <c r="D370" s="1" t="str">
        <f t="shared" si="23"/>
        <v/>
      </c>
      <c r="E370" s="26"/>
      <c r="K370" s="32"/>
      <c r="L370" s="30"/>
    </row>
    <row r="371" spans="4:12" s="1" customFormat="1">
      <c r="D371" s="1" t="str">
        <f t="shared" si="23"/>
        <v/>
      </c>
      <c r="E371" s="26"/>
      <c r="K371" s="32"/>
      <c r="L371" s="30"/>
    </row>
    <row r="372" spans="4:12" s="1" customFormat="1">
      <c r="D372" s="1" t="str">
        <f t="shared" si="23"/>
        <v/>
      </c>
      <c r="E372" s="26"/>
      <c r="K372" s="32"/>
      <c r="L372" s="30"/>
    </row>
    <row r="373" spans="4:12" s="1" customFormat="1">
      <c r="D373" s="1" t="str">
        <f t="shared" si="23"/>
        <v/>
      </c>
      <c r="E373" s="26"/>
      <c r="K373" s="32"/>
      <c r="L373" s="30"/>
    </row>
    <row r="374" spans="4:12" s="1" customFormat="1">
      <c r="D374" s="1" t="str">
        <f t="shared" si="23"/>
        <v/>
      </c>
      <c r="E374" s="26"/>
      <c r="K374" s="32"/>
      <c r="L374" s="30"/>
    </row>
    <row r="375" spans="4:12" s="1" customFormat="1">
      <c r="D375" s="1" t="str">
        <f t="shared" si="23"/>
        <v/>
      </c>
      <c r="E375" s="26"/>
      <c r="K375" s="32"/>
      <c r="L375" s="30"/>
    </row>
    <row r="376" spans="4:12" s="1" customFormat="1">
      <c r="D376" s="1" t="str">
        <f t="shared" si="23"/>
        <v/>
      </c>
      <c r="E376" s="26"/>
      <c r="K376" s="32"/>
      <c r="L376" s="30"/>
    </row>
    <row r="377" spans="4:12" s="1" customFormat="1">
      <c r="D377" s="1" t="str">
        <f t="shared" si="23"/>
        <v/>
      </c>
      <c r="E377" s="26"/>
      <c r="K377" s="32"/>
      <c r="L377" s="30"/>
    </row>
    <row r="378" spans="4:12" s="1" customFormat="1">
      <c r="D378" s="1" t="str">
        <f t="shared" si="23"/>
        <v/>
      </c>
      <c r="E378" s="26"/>
      <c r="K378" s="32"/>
      <c r="L378" s="30"/>
    </row>
    <row r="379" spans="4:12" s="1" customFormat="1">
      <c r="D379" s="1" t="str">
        <f t="shared" si="23"/>
        <v/>
      </c>
      <c r="E379" s="26"/>
      <c r="K379" s="32"/>
      <c r="L379" s="30"/>
    </row>
    <row r="380" spans="4:12" s="1" customFormat="1">
      <c r="D380" s="1" t="str">
        <f t="shared" si="23"/>
        <v/>
      </c>
      <c r="E380" s="26"/>
      <c r="K380" s="32"/>
      <c r="L380" s="30"/>
    </row>
    <row r="381" spans="4:12" s="1" customFormat="1">
      <c r="D381" s="1" t="str">
        <f t="shared" si="23"/>
        <v/>
      </c>
      <c r="E381" s="26"/>
      <c r="K381" s="32"/>
      <c r="L381" s="30"/>
    </row>
    <row r="382" spans="4:12" s="1" customFormat="1">
      <c r="D382" s="1" t="str">
        <f t="shared" si="23"/>
        <v/>
      </c>
      <c r="E382" s="26"/>
      <c r="K382" s="32"/>
      <c r="L382" s="30"/>
    </row>
    <row r="383" spans="4:12" s="1" customFormat="1">
      <c r="D383" s="1" t="str">
        <f t="shared" si="23"/>
        <v/>
      </c>
      <c r="E383" s="26"/>
      <c r="K383" s="32"/>
      <c r="L383" s="30"/>
    </row>
    <row r="384" spans="4:12" s="1" customFormat="1">
      <c r="D384" s="1" t="str">
        <f t="shared" si="23"/>
        <v/>
      </c>
      <c r="E384" s="26"/>
      <c r="K384" s="32"/>
      <c r="L384" s="30"/>
    </row>
    <row r="385" spans="4:12" s="1" customFormat="1">
      <c r="D385" s="1" t="str">
        <f t="shared" si="23"/>
        <v/>
      </c>
      <c r="E385" s="26"/>
      <c r="K385" s="32"/>
      <c r="L385" s="30"/>
    </row>
    <row r="386" spans="4:12" s="1" customFormat="1">
      <c r="D386" s="1" t="str">
        <f t="shared" si="23"/>
        <v/>
      </c>
      <c r="E386" s="26"/>
      <c r="K386" s="32"/>
      <c r="L386" s="30"/>
    </row>
    <row r="387" spans="4:12" s="1" customFormat="1">
      <c r="D387" s="1" t="str">
        <f t="shared" si="23"/>
        <v/>
      </c>
      <c r="E387" s="26"/>
      <c r="K387" s="32"/>
      <c r="L387" s="30"/>
    </row>
    <row r="388" spans="4:12" s="1" customFormat="1">
      <c r="D388" s="1" t="str">
        <f t="shared" si="23"/>
        <v/>
      </c>
      <c r="E388" s="26"/>
      <c r="K388" s="32"/>
      <c r="L388" s="30"/>
    </row>
    <row r="389" spans="4:12" s="1" customFormat="1">
      <c r="D389" s="1" t="str">
        <f t="shared" si="23"/>
        <v/>
      </c>
      <c r="E389" s="26"/>
      <c r="K389" s="32"/>
      <c r="L389" s="30"/>
    </row>
    <row r="390" spans="4:12" s="1" customFormat="1">
      <c r="D390" s="1" t="str">
        <f t="shared" si="23"/>
        <v/>
      </c>
      <c r="E390" s="26"/>
      <c r="K390" s="32"/>
      <c r="L390" s="30"/>
    </row>
    <row r="391" spans="4:12" s="1" customFormat="1">
      <c r="D391" s="1" t="str">
        <f t="shared" si="23"/>
        <v/>
      </c>
      <c r="E391" s="26"/>
      <c r="K391" s="32"/>
      <c r="L391" s="30"/>
    </row>
    <row r="392" spans="4:12" s="1" customFormat="1">
      <c r="D392" s="1" t="str">
        <f t="shared" ref="D392:D455" si="24">IF(F392&lt;&gt;"",RIGHT(F392, LEN(F392) - FIND(" - ", F392) - 2),"")</f>
        <v/>
      </c>
      <c r="E392" s="26"/>
      <c r="K392" s="32"/>
      <c r="L392" s="30"/>
    </row>
    <row r="393" spans="4:12" s="1" customFormat="1">
      <c r="D393" s="1" t="str">
        <f t="shared" si="24"/>
        <v/>
      </c>
      <c r="E393" s="26"/>
      <c r="K393" s="32"/>
      <c r="L393" s="30"/>
    </row>
    <row r="394" spans="4:12" s="1" customFormat="1">
      <c r="D394" s="1" t="str">
        <f t="shared" si="24"/>
        <v/>
      </c>
      <c r="E394" s="26"/>
      <c r="K394" s="32"/>
      <c r="L394" s="30"/>
    </row>
    <row r="395" spans="4:12" s="1" customFormat="1">
      <c r="D395" s="1" t="str">
        <f t="shared" si="24"/>
        <v/>
      </c>
      <c r="E395" s="26"/>
      <c r="K395" s="32"/>
      <c r="L395" s="30"/>
    </row>
    <row r="396" spans="4:12" s="1" customFormat="1">
      <c r="D396" s="1" t="str">
        <f t="shared" si="24"/>
        <v/>
      </c>
      <c r="E396" s="26"/>
      <c r="K396" s="32"/>
      <c r="L396" s="30"/>
    </row>
    <row r="397" spans="4:12" s="1" customFormat="1">
      <c r="D397" s="1" t="str">
        <f t="shared" si="24"/>
        <v/>
      </c>
      <c r="E397" s="26"/>
      <c r="K397" s="32"/>
      <c r="L397" s="30"/>
    </row>
    <row r="398" spans="4:12" s="1" customFormat="1">
      <c r="D398" s="1" t="str">
        <f t="shared" si="24"/>
        <v/>
      </c>
      <c r="E398" s="26"/>
      <c r="K398" s="32"/>
      <c r="L398" s="30"/>
    </row>
    <row r="399" spans="4:12" s="1" customFormat="1">
      <c r="D399" s="1" t="str">
        <f t="shared" si="24"/>
        <v/>
      </c>
      <c r="E399" s="26"/>
      <c r="K399" s="32"/>
      <c r="L399" s="30"/>
    </row>
    <row r="400" spans="4:12" s="1" customFormat="1">
      <c r="D400" s="1" t="str">
        <f t="shared" si="24"/>
        <v/>
      </c>
      <c r="E400" s="26"/>
      <c r="K400" s="32"/>
      <c r="L400" s="30"/>
    </row>
    <row r="401" spans="4:12" s="1" customFormat="1">
      <c r="D401" s="1" t="str">
        <f t="shared" si="24"/>
        <v/>
      </c>
      <c r="E401" s="26"/>
      <c r="K401" s="32"/>
      <c r="L401" s="30"/>
    </row>
    <row r="402" spans="4:12" s="1" customFormat="1">
      <c r="D402" s="1" t="str">
        <f t="shared" si="24"/>
        <v/>
      </c>
      <c r="E402" s="26"/>
      <c r="K402" s="32"/>
      <c r="L402" s="30"/>
    </row>
    <row r="403" spans="4:12" s="1" customFormat="1">
      <c r="D403" s="1" t="str">
        <f t="shared" si="24"/>
        <v/>
      </c>
      <c r="E403" s="26"/>
      <c r="K403" s="32"/>
      <c r="L403" s="30"/>
    </row>
    <row r="404" spans="4:12" s="1" customFormat="1">
      <c r="D404" s="1" t="str">
        <f t="shared" si="24"/>
        <v/>
      </c>
      <c r="E404" s="26"/>
      <c r="K404" s="32"/>
      <c r="L404" s="30"/>
    </row>
    <row r="405" spans="4:12" s="1" customFormat="1">
      <c r="D405" s="1" t="str">
        <f t="shared" si="24"/>
        <v/>
      </c>
      <c r="E405" s="26"/>
      <c r="K405" s="32"/>
      <c r="L405" s="30"/>
    </row>
    <row r="406" spans="4:12" s="1" customFormat="1">
      <c r="D406" s="1" t="str">
        <f t="shared" si="24"/>
        <v/>
      </c>
      <c r="E406" s="26"/>
      <c r="K406" s="32"/>
      <c r="L406" s="30"/>
    </row>
    <row r="407" spans="4:12" s="1" customFormat="1">
      <c r="D407" s="1" t="str">
        <f t="shared" si="24"/>
        <v/>
      </c>
      <c r="E407" s="26"/>
      <c r="K407" s="32"/>
      <c r="L407" s="30"/>
    </row>
    <row r="408" spans="4:12" s="1" customFormat="1">
      <c r="D408" s="1" t="str">
        <f t="shared" si="24"/>
        <v/>
      </c>
      <c r="E408" s="26"/>
      <c r="K408" s="32"/>
      <c r="L408" s="30"/>
    </row>
    <row r="409" spans="4:12" s="1" customFormat="1">
      <c r="D409" s="1" t="str">
        <f t="shared" si="24"/>
        <v/>
      </c>
      <c r="E409" s="26"/>
      <c r="K409" s="32"/>
      <c r="L409" s="30"/>
    </row>
    <row r="410" spans="4:12" s="1" customFormat="1">
      <c r="D410" s="1" t="str">
        <f t="shared" si="24"/>
        <v/>
      </c>
      <c r="E410" s="26"/>
      <c r="K410" s="32"/>
      <c r="L410" s="30"/>
    </row>
    <row r="411" spans="4:12" s="1" customFormat="1">
      <c r="D411" s="1" t="str">
        <f t="shared" si="24"/>
        <v/>
      </c>
      <c r="E411" s="26"/>
      <c r="K411" s="32"/>
      <c r="L411" s="30"/>
    </row>
    <row r="412" spans="4:12" s="1" customFormat="1">
      <c r="D412" s="1" t="str">
        <f t="shared" si="24"/>
        <v/>
      </c>
      <c r="E412" s="26"/>
      <c r="K412" s="32"/>
      <c r="L412" s="30"/>
    </row>
    <row r="413" spans="4:12" s="1" customFormat="1">
      <c r="D413" s="1" t="str">
        <f t="shared" si="24"/>
        <v/>
      </c>
      <c r="E413" s="26"/>
      <c r="K413" s="32"/>
      <c r="L413" s="30"/>
    </row>
    <row r="414" spans="4:12" s="1" customFormat="1">
      <c r="D414" s="1" t="str">
        <f t="shared" si="24"/>
        <v/>
      </c>
      <c r="E414" s="26"/>
      <c r="K414" s="32"/>
      <c r="L414" s="30"/>
    </row>
    <row r="415" spans="4:12" s="1" customFormat="1">
      <c r="D415" s="1" t="str">
        <f t="shared" si="24"/>
        <v/>
      </c>
      <c r="E415" s="26"/>
      <c r="K415" s="32"/>
      <c r="L415" s="30"/>
    </row>
    <row r="416" spans="4:12" s="1" customFormat="1">
      <c r="D416" s="1" t="str">
        <f t="shared" si="24"/>
        <v/>
      </c>
      <c r="E416" s="26"/>
      <c r="K416" s="32"/>
      <c r="L416" s="30"/>
    </row>
    <row r="417" spans="4:12" s="1" customFormat="1">
      <c r="D417" s="1" t="str">
        <f t="shared" si="24"/>
        <v/>
      </c>
      <c r="E417" s="26"/>
      <c r="K417" s="32"/>
      <c r="L417" s="30"/>
    </row>
    <row r="418" spans="4:12" s="1" customFormat="1">
      <c r="D418" s="1" t="str">
        <f t="shared" si="24"/>
        <v/>
      </c>
      <c r="E418" s="26"/>
      <c r="K418" s="32"/>
      <c r="L418" s="30"/>
    </row>
    <row r="419" spans="4:12" s="1" customFormat="1">
      <c r="D419" s="1" t="str">
        <f t="shared" si="24"/>
        <v/>
      </c>
      <c r="E419" s="26"/>
      <c r="K419" s="32"/>
      <c r="L419" s="30"/>
    </row>
    <row r="420" spans="4:12" s="1" customFormat="1">
      <c r="D420" s="1" t="str">
        <f t="shared" si="24"/>
        <v/>
      </c>
      <c r="E420" s="26"/>
      <c r="K420" s="32"/>
      <c r="L420" s="30"/>
    </row>
    <row r="421" spans="4:12" s="1" customFormat="1">
      <c r="D421" s="1" t="str">
        <f t="shared" si="24"/>
        <v/>
      </c>
      <c r="E421" s="26"/>
      <c r="K421" s="32"/>
      <c r="L421" s="30"/>
    </row>
    <row r="422" spans="4:12" s="1" customFormat="1">
      <c r="D422" s="1" t="str">
        <f t="shared" si="24"/>
        <v/>
      </c>
      <c r="E422" s="26"/>
      <c r="K422" s="32"/>
      <c r="L422" s="30"/>
    </row>
    <row r="423" spans="4:12" s="1" customFormat="1">
      <c r="D423" s="1" t="str">
        <f t="shared" si="24"/>
        <v/>
      </c>
      <c r="E423" s="26"/>
      <c r="K423" s="32"/>
      <c r="L423" s="30"/>
    </row>
    <row r="424" spans="4:12" s="1" customFormat="1">
      <c r="D424" s="1" t="str">
        <f t="shared" si="24"/>
        <v/>
      </c>
      <c r="E424" s="26"/>
      <c r="K424" s="32"/>
      <c r="L424" s="30"/>
    </row>
    <row r="425" spans="4:12" s="1" customFormat="1">
      <c r="D425" s="1" t="str">
        <f t="shared" si="24"/>
        <v/>
      </c>
      <c r="E425" s="26"/>
      <c r="K425" s="32"/>
      <c r="L425" s="30"/>
    </row>
    <row r="426" spans="4:12" s="1" customFormat="1">
      <c r="D426" s="1" t="str">
        <f t="shared" si="24"/>
        <v/>
      </c>
      <c r="E426" s="26"/>
      <c r="K426" s="32"/>
      <c r="L426" s="30"/>
    </row>
    <row r="427" spans="4:12" s="1" customFormat="1">
      <c r="D427" s="1" t="str">
        <f t="shared" si="24"/>
        <v/>
      </c>
      <c r="E427" s="26"/>
      <c r="K427" s="32"/>
      <c r="L427" s="30"/>
    </row>
    <row r="428" spans="4:12" s="1" customFormat="1">
      <c r="D428" s="1" t="str">
        <f t="shared" si="24"/>
        <v/>
      </c>
      <c r="E428" s="26"/>
      <c r="K428" s="32"/>
      <c r="L428" s="30"/>
    </row>
    <row r="429" spans="4:12" s="1" customFormat="1">
      <c r="D429" s="1" t="str">
        <f t="shared" si="24"/>
        <v/>
      </c>
      <c r="E429" s="26"/>
      <c r="K429" s="32"/>
      <c r="L429" s="30"/>
    </row>
    <row r="430" spans="4:12" s="1" customFormat="1">
      <c r="D430" s="1" t="str">
        <f t="shared" si="24"/>
        <v/>
      </c>
      <c r="E430" s="26"/>
      <c r="K430" s="32"/>
      <c r="L430" s="30"/>
    </row>
    <row r="431" spans="4:12" s="1" customFormat="1">
      <c r="D431" s="1" t="str">
        <f t="shared" si="24"/>
        <v/>
      </c>
      <c r="E431" s="26"/>
      <c r="K431" s="32"/>
      <c r="L431" s="30"/>
    </row>
    <row r="432" spans="4:12" s="1" customFormat="1">
      <c r="D432" s="1" t="str">
        <f t="shared" si="24"/>
        <v/>
      </c>
      <c r="E432" s="26"/>
      <c r="K432" s="32"/>
      <c r="L432" s="30"/>
    </row>
    <row r="433" spans="4:12" s="1" customFormat="1">
      <c r="D433" s="1" t="str">
        <f t="shared" si="24"/>
        <v/>
      </c>
      <c r="E433" s="26"/>
      <c r="K433" s="32"/>
      <c r="L433" s="30"/>
    </row>
    <row r="434" spans="4:12" s="1" customFormat="1">
      <c r="D434" s="1" t="str">
        <f t="shared" si="24"/>
        <v/>
      </c>
      <c r="E434" s="26"/>
      <c r="K434" s="32"/>
      <c r="L434" s="30"/>
    </row>
    <row r="435" spans="4:12" s="1" customFormat="1">
      <c r="D435" s="1" t="str">
        <f t="shared" si="24"/>
        <v/>
      </c>
      <c r="E435" s="26"/>
      <c r="K435" s="32"/>
      <c r="L435" s="30"/>
    </row>
    <row r="436" spans="4:12" s="1" customFormat="1">
      <c r="D436" s="1" t="str">
        <f t="shared" si="24"/>
        <v/>
      </c>
      <c r="E436" s="26"/>
      <c r="K436" s="32"/>
      <c r="L436" s="30"/>
    </row>
    <row r="437" spans="4:12" s="1" customFormat="1">
      <c r="D437" s="1" t="str">
        <f t="shared" si="24"/>
        <v/>
      </c>
      <c r="E437" s="26"/>
      <c r="K437" s="32"/>
      <c r="L437" s="30"/>
    </row>
    <row r="438" spans="4:12" s="1" customFormat="1">
      <c r="D438" s="1" t="str">
        <f t="shared" si="24"/>
        <v/>
      </c>
      <c r="E438" s="26"/>
      <c r="K438" s="32"/>
      <c r="L438" s="30"/>
    </row>
    <row r="439" spans="4:12" s="1" customFormat="1">
      <c r="D439" s="1" t="str">
        <f t="shared" si="24"/>
        <v/>
      </c>
      <c r="E439" s="26"/>
      <c r="K439" s="32"/>
      <c r="L439" s="30"/>
    </row>
    <row r="440" spans="4:12" s="1" customFormat="1">
      <c r="D440" s="1" t="str">
        <f t="shared" si="24"/>
        <v/>
      </c>
      <c r="E440" s="26"/>
      <c r="K440" s="32"/>
      <c r="L440" s="30"/>
    </row>
    <row r="441" spans="4:12" s="1" customFormat="1">
      <c r="D441" s="1" t="str">
        <f t="shared" si="24"/>
        <v/>
      </c>
      <c r="E441" s="26"/>
      <c r="K441" s="32"/>
      <c r="L441" s="30"/>
    </row>
    <row r="442" spans="4:12" s="1" customFormat="1">
      <c r="D442" s="1" t="str">
        <f t="shared" si="24"/>
        <v/>
      </c>
      <c r="E442" s="26"/>
      <c r="K442" s="32"/>
      <c r="L442" s="30"/>
    </row>
    <row r="443" spans="4:12" s="1" customFormat="1">
      <c r="D443" s="1" t="str">
        <f t="shared" si="24"/>
        <v/>
      </c>
      <c r="E443" s="26"/>
      <c r="K443" s="32"/>
      <c r="L443" s="30"/>
    </row>
    <row r="444" spans="4:12" s="1" customFormat="1">
      <c r="D444" s="1" t="str">
        <f t="shared" si="24"/>
        <v/>
      </c>
      <c r="E444" s="26"/>
      <c r="K444" s="32"/>
      <c r="L444" s="30"/>
    </row>
    <row r="445" spans="4:12" s="1" customFormat="1">
      <c r="D445" s="1" t="str">
        <f t="shared" si="24"/>
        <v/>
      </c>
      <c r="E445" s="26"/>
      <c r="K445" s="32"/>
      <c r="L445" s="30"/>
    </row>
    <row r="446" spans="4:12" s="1" customFormat="1">
      <c r="D446" s="1" t="str">
        <f t="shared" si="24"/>
        <v/>
      </c>
      <c r="E446" s="26"/>
      <c r="K446" s="32"/>
      <c r="L446" s="30"/>
    </row>
    <row r="447" spans="4:12" s="1" customFormat="1">
      <c r="D447" s="1" t="str">
        <f t="shared" si="24"/>
        <v/>
      </c>
      <c r="E447" s="26"/>
      <c r="K447" s="32"/>
      <c r="L447" s="30"/>
    </row>
    <row r="448" spans="4:12" s="1" customFormat="1">
      <c r="D448" s="1" t="str">
        <f t="shared" si="24"/>
        <v/>
      </c>
      <c r="E448" s="26"/>
      <c r="K448" s="32"/>
      <c r="L448" s="30"/>
    </row>
    <row r="449" spans="4:12" s="1" customFormat="1">
      <c r="D449" s="1" t="str">
        <f t="shared" si="24"/>
        <v/>
      </c>
      <c r="E449" s="26"/>
      <c r="K449" s="32"/>
      <c r="L449" s="30"/>
    </row>
    <row r="450" spans="4:12" s="1" customFormat="1">
      <c r="D450" s="1" t="str">
        <f t="shared" si="24"/>
        <v/>
      </c>
      <c r="E450" s="26"/>
      <c r="K450" s="32"/>
      <c r="L450" s="30"/>
    </row>
    <row r="451" spans="4:12" s="1" customFormat="1">
      <c r="D451" s="1" t="str">
        <f t="shared" si="24"/>
        <v/>
      </c>
      <c r="E451" s="26"/>
      <c r="K451" s="32"/>
      <c r="L451" s="30"/>
    </row>
    <row r="452" spans="4:12" s="1" customFormat="1">
      <c r="D452" s="1" t="str">
        <f t="shared" si="24"/>
        <v/>
      </c>
      <c r="E452" s="26"/>
      <c r="K452" s="32"/>
      <c r="L452" s="30"/>
    </row>
    <row r="453" spans="4:12" s="1" customFormat="1">
      <c r="D453" s="1" t="str">
        <f t="shared" si="24"/>
        <v/>
      </c>
      <c r="E453" s="26"/>
      <c r="K453" s="32"/>
      <c r="L453" s="30"/>
    </row>
    <row r="454" spans="4:12" s="1" customFormat="1">
      <c r="D454" s="1" t="str">
        <f t="shared" si="24"/>
        <v/>
      </c>
      <c r="E454" s="26"/>
      <c r="K454" s="32"/>
      <c r="L454" s="30"/>
    </row>
    <row r="455" spans="4:12" s="1" customFormat="1">
      <c r="D455" s="1" t="str">
        <f t="shared" si="24"/>
        <v/>
      </c>
      <c r="E455" s="26"/>
      <c r="K455" s="32"/>
      <c r="L455" s="30"/>
    </row>
    <row r="456" spans="4:12" s="1" customFormat="1">
      <c r="D456" s="1" t="str">
        <f t="shared" ref="D456:D519" si="25">IF(F456&lt;&gt;"",RIGHT(F456, LEN(F456) - FIND(" - ", F456) - 2),"")</f>
        <v/>
      </c>
      <c r="E456" s="26"/>
      <c r="K456" s="32"/>
      <c r="L456" s="30"/>
    </row>
    <row r="457" spans="4:12" s="1" customFormat="1">
      <c r="D457" s="1" t="str">
        <f t="shared" si="25"/>
        <v/>
      </c>
      <c r="E457" s="26"/>
      <c r="K457" s="32"/>
      <c r="L457" s="30"/>
    </row>
    <row r="458" spans="4:12" s="1" customFormat="1">
      <c r="D458" s="1" t="str">
        <f t="shared" si="25"/>
        <v/>
      </c>
      <c r="E458" s="26"/>
      <c r="K458" s="32"/>
      <c r="L458" s="30"/>
    </row>
    <row r="459" spans="4:12" s="1" customFormat="1">
      <c r="D459" s="1" t="str">
        <f t="shared" si="25"/>
        <v/>
      </c>
      <c r="E459" s="26"/>
      <c r="K459" s="32"/>
      <c r="L459" s="30"/>
    </row>
    <row r="460" spans="4:12" s="1" customFormat="1">
      <c r="D460" s="1" t="str">
        <f t="shared" si="25"/>
        <v/>
      </c>
      <c r="E460" s="26"/>
      <c r="K460" s="32"/>
      <c r="L460" s="30"/>
    </row>
    <row r="461" spans="4:12" s="1" customFormat="1">
      <c r="D461" s="1" t="str">
        <f t="shared" si="25"/>
        <v/>
      </c>
      <c r="E461" s="26"/>
      <c r="K461" s="32"/>
      <c r="L461" s="30"/>
    </row>
    <row r="462" spans="4:12" s="1" customFormat="1">
      <c r="D462" s="1" t="str">
        <f t="shared" si="25"/>
        <v/>
      </c>
      <c r="E462" s="26"/>
      <c r="K462" s="32"/>
      <c r="L462" s="30"/>
    </row>
    <row r="463" spans="4:12" s="1" customFormat="1">
      <c r="D463" s="1" t="str">
        <f t="shared" si="25"/>
        <v/>
      </c>
      <c r="E463" s="26"/>
      <c r="K463" s="32"/>
      <c r="L463" s="30"/>
    </row>
    <row r="464" spans="4:12" s="1" customFormat="1">
      <c r="D464" s="1" t="str">
        <f t="shared" si="25"/>
        <v/>
      </c>
      <c r="E464" s="26"/>
      <c r="K464" s="32"/>
      <c r="L464" s="30"/>
    </row>
    <row r="465" spans="4:12" s="1" customFormat="1">
      <c r="D465" s="1" t="str">
        <f t="shared" si="25"/>
        <v/>
      </c>
      <c r="E465" s="26"/>
      <c r="K465" s="32"/>
      <c r="L465" s="30"/>
    </row>
    <row r="466" spans="4:12" s="1" customFormat="1">
      <c r="D466" s="1" t="str">
        <f t="shared" si="25"/>
        <v/>
      </c>
      <c r="E466" s="26"/>
      <c r="K466" s="32"/>
      <c r="L466" s="30"/>
    </row>
    <row r="467" spans="4:12" s="1" customFormat="1">
      <c r="D467" s="1" t="str">
        <f t="shared" si="25"/>
        <v/>
      </c>
      <c r="E467" s="26"/>
      <c r="K467" s="32"/>
      <c r="L467" s="30"/>
    </row>
    <row r="468" spans="4:12" s="1" customFormat="1">
      <c r="D468" s="1" t="str">
        <f t="shared" si="25"/>
        <v/>
      </c>
      <c r="E468" s="26"/>
      <c r="K468" s="32"/>
      <c r="L468" s="30"/>
    </row>
    <row r="469" spans="4:12" s="1" customFormat="1">
      <c r="D469" s="1" t="str">
        <f t="shared" si="25"/>
        <v/>
      </c>
      <c r="E469" s="26"/>
      <c r="K469" s="32"/>
      <c r="L469" s="30"/>
    </row>
    <row r="470" spans="4:12" s="1" customFormat="1">
      <c r="D470" s="1" t="str">
        <f t="shared" si="25"/>
        <v/>
      </c>
      <c r="E470" s="26"/>
      <c r="K470" s="32"/>
      <c r="L470" s="30"/>
    </row>
    <row r="471" spans="4:12" s="1" customFormat="1">
      <c r="D471" s="1" t="str">
        <f t="shared" si="25"/>
        <v/>
      </c>
      <c r="E471" s="26"/>
      <c r="K471" s="32"/>
      <c r="L471" s="30"/>
    </row>
    <row r="472" spans="4:12" s="1" customFormat="1">
      <c r="D472" s="1" t="str">
        <f t="shared" si="25"/>
        <v/>
      </c>
      <c r="E472" s="26"/>
      <c r="K472" s="32"/>
      <c r="L472" s="30"/>
    </row>
    <row r="473" spans="4:12" s="1" customFormat="1">
      <c r="D473" s="1" t="str">
        <f t="shared" si="25"/>
        <v/>
      </c>
      <c r="E473" s="26"/>
      <c r="K473" s="32"/>
      <c r="L473" s="30"/>
    </row>
    <row r="474" spans="4:12" s="1" customFormat="1">
      <c r="D474" s="1" t="str">
        <f t="shared" si="25"/>
        <v/>
      </c>
      <c r="E474" s="26"/>
      <c r="K474" s="32"/>
      <c r="L474" s="30"/>
    </row>
    <row r="475" spans="4:12" s="1" customFormat="1">
      <c r="D475" s="1" t="str">
        <f t="shared" si="25"/>
        <v/>
      </c>
      <c r="E475" s="26"/>
      <c r="K475" s="32"/>
      <c r="L475" s="30"/>
    </row>
    <row r="476" spans="4:12" s="1" customFormat="1">
      <c r="D476" s="1" t="str">
        <f t="shared" si="25"/>
        <v/>
      </c>
      <c r="E476" s="26"/>
      <c r="K476" s="32"/>
      <c r="L476" s="30"/>
    </row>
    <row r="477" spans="4:12" s="1" customFormat="1">
      <c r="D477" s="1" t="str">
        <f t="shared" si="25"/>
        <v/>
      </c>
      <c r="E477" s="26"/>
      <c r="K477" s="32"/>
      <c r="L477" s="30"/>
    </row>
    <row r="478" spans="4:12" s="1" customFormat="1">
      <c r="D478" s="1" t="str">
        <f t="shared" si="25"/>
        <v/>
      </c>
      <c r="E478" s="26"/>
      <c r="K478" s="32"/>
      <c r="L478" s="30"/>
    </row>
    <row r="479" spans="4:12" s="1" customFormat="1">
      <c r="D479" s="1" t="str">
        <f t="shared" si="25"/>
        <v/>
      </c>
      <c r="E479" s="26"/>
      <c r="K479" s="32"/>
      <c r="L479" s="30"/>
    </row>
    <row r="480" spans="4:12" s="1" customFormat="1">
      <c r="D480" s="1" t="str">
        <f t="shared" si="25"/>
        <v/>
      </c>
      <c r="E480" s="26"/>
      <c r="K480" s="32"/>
      <c r="L480" s="30"/>
    </row>
    <row r="481" spans="4:12" s="1" customFormat="1">
      <c r="D481" s="1" t="str">
        <f t="shared" si="25"/>
        <v/>
      </c>
      <c r="E481" s="26"/>
      <c r="K481" s="32"/>
      <c r="L481" s="30"/>
    </row>
    <row r="482" spans="4:12" s="1" customFormat="1">
      <c r="D482" s="1" t="str">
        <f t="shared" si="25"/>
        <v/>
      </c>
      <c r="E482" s="26"/>
      <c r="K482" s="32"/>
      <c r="L482" s="30"/>
    </row>
    <row r="483" spans="4:12" s="1" customFormat="1">
      <c r="D483" s="1" t="str">
        <f t="shared" si="25"/>
        <v/>
      </c>
      <c r="E483" s="26"/>
      <c r="K483" s="32"/>
      <c r="L483" s="30"/>
    </row>
    <row r="484" spans="4:12" s="1" customFormat="1">
      <c r="D484" s="1" t="str">
        <f t="shared" si="25"/>
        <v/>
      </c>
      <c r="E484" s="26"/>
      <c r="K484" s="32"/>
      <c r="L484" s="30"/>
    </row>
    <row r="485" spans="4:12" s="1" customFormat="1">
      <c r="D485" s="1" t="str">
        <f t="shared" si="25"/>
        <v/>
      </c>
      <c r="E485" s="26"/>
      <c r="K485" s="32"/>
      <c r="L485" s="30"/>
    </row>
    <row r="486" spans="4:12" s="1" customFormat="1">
      <c r="D486" s="1" t="str">
        <f t="shared" si="25"/>
        <v/>
      </c>
      <c r="E486" s="26"/>
      <c r="K486" s="32"/>
      <c r="L486" s="30"/>
    </row>
    <row r="487" spans="4:12" s="1" customFormat="1">
      <c r="D487" s="1" t="str">
        <f t="shared" si="25"/>
        <v/>
      </c>
      <c r="E487" s="26"/>
      <c r="K487" s="32"/>
      <c r="L487" s="30"/>
    </row>
    <row r="488" spans="4:12" s="1" customFormat="1">
      <c r="D488" s="1" t="str">
        <f t="shared" si="25"/>
        <v/>
      </c>
      <c r="E488" s="26"/>
      <c r="K488" s="32"/>
      <c r="L488" s="30"/>
    </row>
    <row r="489" spans="4:12" s="1" customFormat="1">
      <c r="D489" s="1" t="str">
        <f t="shared" si="25"/>
        <v/>
      </c>
      <c r="E489" s="26"/>
      <c r="K489" s="32"/>
      <c r="L489" s="30"/>
    </row>
    <row r="490" spans="4:12" s="1" customFormat="1">
      <c r="D490" s="1" t="str">
        <f t="shared" si="25"/>
        <v/>
      </c>
      <c r="E490" s="26"/>
      <c r="K490" s="32"/>
      <c r="L490" s="30"/>
    </row>
    <row r="491" spans="4:12" s="1" customFormat="1">
      <c r="D491" s="1" t="str">
        <f t="shared" si="25"/>
        <v/>
      </c>
      <c r="E491" s="26"/>
      <c r="K491" s="32"/>
      <c r="L491" s="30"/>
    </row>
    <row r="492" spans="4:12" s="1" customFormat="1">
      <c r="D492" s="1" t="str">
        <f t="shared" si="25"/>
        <v/>
      </c>
      <c r="E492" s="26"/>
      <c r="K492" s="32"/>
      <c r="L492" s="30"/>
    </row>
    <row r="493" spans="4:12" s="1" customFormat="1">
      <c r="D493" s="1" t="str">
        <f t="shared" si="25"/>
        <v/>
      </c>
      <c r="E493" s="26"/>
      <c r="K493" s="32"/>
      <c r="L493" s="30"/>
    </row>
    <row r="494" spans="4:12" s="1" customFormat="1">
      <c r="D494" s="1" t="str">
        <f t="shared" si="25"/>
        <v/>
      </c>
      <c r="E494" s="26"/>
      <c r="K494" s="32"/>
      <c r="L494" s="30"/>
    </row>
    <row r="495" spans="4:12" s="1" customFormat="1">
      <c r="D495" s="1" t="str">
        <f t="shared" si="25"/>
        <v/>
      </c>
      <c r="E495" s="26"/>
      <c r="K495" s="32"/>
      <c r="L495" s="30"/>
    </row>
    <row r="496" spans="4:12" s="1" customFormat="1">
      <c r="D496" s="1" t="str">
        <f t="shared" si="25"/>
        <v/>
      </c>
      <c r="E496" s="26"/>
      <c r="K496" s="32"/>
      <c r="L496" s="30"/>
    </row>
    <row r="497" spans="4:12" s="1" customFormat="1">
      <c r="D497" s="1" t="str">
        <f t="shared" si="25"/>
        <v/>
      </c>
      <c r="E497" s="26"/>
      <c r="K497" s="32"/>
      <c r="L497" s="30"/>
    </row>
    <row r="498" spans="4:12" s="1" customFormat="1">
      <c r="D498" s="1" t="str">
        <f t="shared" si="25"/>
        <v/>
      </c>
      <c r="E498" s="26"/>
      <c r="K498" s="32"/>
      <c r="L498" s="30"/>
    </row>
    <row r="499" spans="4:12" s="1" customFormat="1">
      <c r="D499" s="1" t="str">
        <f t="shared" si="25"/>
        <v/>
      </c>
      <c r="E499" s="26"/>
      <c r="K499" s="32"/>
      <c r="L499" s="30"/>
    </row>
    <row r="500" spans="4:12" s="1" customFormat="1">
      <c r="D500" s="1" t="str">
        <f t="shared" si="25"/>
        <v/>
      </c>
      <c r="E500" s="26"/>
      <c r="K500" s="32"/>
      <c r="L500" s="30"/>
    </row>
    <row r="501" spans="4:12" s="1" customFormat="1">
      <c r="D501" s="1" t="str">
        <f t="shared" si="25"/>
        <v/>
      </c>
      <c r="E501" s="26"/>
      <c r="K501" s="32"/>
      <c r="L501" s="30"/>
    </row>
    <row r="502" spans="4:12" s="1" customFormat="1">
      <c r="D502" s="1" t="str">
        <f t="shared" si="25"/>
        <v/>
      </c>
      <c r="E502" s="26"/>
      <c r="K502" s="32"/>
      <c r="L502" s="30"/>
    </row>
    <row r="503" spans="4:12" s="1" customFormat="1">
      <c r="D503" s="1" t="str">
        <f t="shared" si="25"/>
        <v/>
      </c>
      <c r="E503" s="26"/>
      <c r="K503" s="32"/>
      <c r="L503" s="30"/>
    </row>
    <row r="504" spans="4:12" s="1" customFormat="1">
      <c r="D504" s="1" t="str">
        <f t="shared" si="25"/>
        <v/>
      </c>
      <c r="E504" s="26"/>
      <c r="K504" s="32"/>
      <c r="L504" s="30"/>
    </row>
    <row r="505" spans="4:12" s="1" customFormat="1">
      <c r="D505" s="1" t="str">
        <f t="shared" si="25"/>
        <v/>
      </c>
      <c r="E505" s="26"/>
      <c r="K505" s="32"/>
      <c r="L505" s="30"/>
    </row>
    <row r="506" spans="4:12" s="1" customFormat="1">
      <c r="D506" s="1" t="str">
        <f t="shared" si="25"/>
        <v/>
      </c>
      <c r="E506" s="26"/>
      <c r="K506" s="32"/>
      <c r="L506" s="30"/>
    </row>
    <row r="507" spans="4:12" s="1" customFormat="1">
      <c r="D507" s="1" t="str">
        <f t="shared" si="25"/>
        <v/>
      </c>
      <c r="E507" s="26"/>
      <c r="K507" s="32"/>
      <c r="L507" s="30"/>
    </row>
    <row r="508" spans="4:12" s="1" customFormat="1">
      <c r="D508" s="1" t="str">
        <f t="shared" si="25"/>
        <v/>
      </c>
      <c r="E508" s="26"/>
      <c r="K508" s="32"/>
      <c r="L508" s="30"/>
    </row>
    <row r="509" spans="4:12" s="1" customFormat="1">
      <c r="D509" s="1" t="str">
        <f t="shared" si="25"/>
        <v/>
      </c>
      <c r="E509" s="26"/>
      <c r="K509" s="32"/>
      <c r="L509" s="30"/>
    </row>
    <row r="510" spans="4:12" s="1" customFormat="1">
      <c r="D510" s="1" t="str">
        <f t="shared" si="25"/>
        <v/>
      </c>
      <c r="E510" s="26"/>
      <c r="K510" s="32"/>
      <c r="L510" s="30"/>
    </row>
    <row r="511" spans="4:12" s="1" customFormat="1">
      <c r="D511" s="1" t="str">
        <f t="shared" si="25"/>
        <v/>
      </c>
      <c r="E511" s="26"/>
      <c r="K511" s="32"/>
      <c r="L511" s="30"/>
    </row>
    <row r="512" spans="4:12" s="1" customFormat="1">
      <c r="D512" s="1" t="str">
        <f t="shared" si="25"/>
        <v/>
      </c>
      <c r="E512" s="26"/>
      <c r="K512" s="32"/>
      <c r="L512" s="30"/>
    </row>
    <row r="513" spans="4:12" s="1" customFormat="1">
      <c r="D513" s="1" t="str">
        <f t="shared" si="25"/>
        <v/>
      </c>
      <c r="E513" s="26"/>
      <c r="K513" s="32"/>
      <c r="L513" s="30"/>
    </row>
    <row r="514" spans="4:12" s="1" customFormat="1">
      <c r="D514" s="1" t="str">
        <f t="shared" si="25"/>
        <v/>
      </c>
      <c r="E514" s="26"/>
      <c r="K514" s="32"/>
      <c r="L514" s="30"/>
    </row>
    <row r="515" spans="4:12" s="1" customFormat="1">
      <c r="D515" s="1" t="str">
        <f t="shared" si="25"/>
        <v/>
      </c>
      <c r="E515" s="26"/>
      <c r="K515" s="32"/>
      <c r="L515" s="30"/>
    </row>
    <row r="516" spans="4:12" s="1" customFormat="1">
      <c r="D516" s="1" t="str">
        <f t="shared" si="25"/>
        <v/>
      </c>
      <c r="E516" s="26"/>
      <c r="K516" s="32"/>
      <c r="L516" s="30"/>
    </row>
    <row r="517" spans="4:12" s="1" customFormat="1">
      <c r="D517" s="1" t="str">
        <f t="shared" si="25"/>
        <v/>
      </c>
      <c r="E517" s="26"/>
      <c r="K517" s="32"/>
      <c r="L517" s="30"/>
    </row>
    <row r="518" spans="4:12" s="1" customFormat="1">
      <c r="D518" s="1" t="str">
        <f t="shared" si="25"/>
        <v/>
      </c>
      <c r="E518" s="26"/>
      <c r="K518" s="32"/>
      <c r="L518" s="30"/>
    </row>
    <row r="519" spans="4:12" s="1" customFormat="1">
      <c r="D519" s="1" t="str">
        <f t="shared" si="25"/>
        <v/>
      </c>
      <c r="E519" s="26"/>
      <c r="K519" s="32"/>
      <c r="L519" s="30"/>
    </row>
    <row r="520" spans="4:12" s="1" customFormat="1">
      <c r="D520" s="1" t="str">
        <f t="shared" ref="D520:D583" si="26">IF(F520&lt;&gt;"",RIGHT(F520, LEN(F520) - FIND(" - ", F520) - 2),"")</f>
        <v/>
      </c>
      <c r="E520" s="26"/>
      <c r="K520" s="32"/>
      <c r="L520" s="30"/>
    </row>
    <row r="521" spans="4:12" s="1" customFormat="1">
      <c r="D521" s="1" t="str">
        <f t="shared" si="26"/>
        <v/>
      </c>
      <c r="E521" s="26"/>
      <c r="K521" s="32"/>
      <c r="L521" s="30"/>
    </row>
    <row r="522" spans="4:12" s="1" customFormat="1">
      <c r="D522" s="1" t="str">
        <f t="shared" si="26"/>
        <v/>
      </c>
      <c r="E522" s="26"/>
      <c r="K522" s="32"/>
      <c r="L522" s="30"/>
    </row>
    <row r="523" spans="4:12" s="1" customFormat="1">
      <c r="D523" s="1" t="str">
        <f t="shared" si="26"/>
        <v/>
      </c>
      <c r="E523" s="26"/>
      <c r="K523" s="32"/>
      <c r="L523" s="30"/>
    </row>
    <row r="524" spans="4:12" s="1" customFormat="1">
      <c r="D524" s="1" t="str">
        <f t="shared" si="26"/>
        <v/>
      </c>
      <c r="E524" s="26"/>
      <c r="K524" s="32"/>
      <c r="L524" s="30"/>
    </row>
    <row r="525" spans="4:12" s="1" customFormat="1">
      <c r="D525" s="1" t="str">
        <f t="shared" si="26"/>
        <v/>
      </c>
      <c r="E525" s="26"/>
      <c r="K525" s="32"/>
      <c r="L525" s="30"/>
    </row>
    <row r="526" spans="4:12" s="1" customFormat="1">
      <c r="D526" s="1" t="str">
        <f t="shared" si="26"/>
        <v/>
      </c>
      <c r="E526" s="26"/>
      <c r="K526" s="32"/>
      <c r="L526" s="30"/>
    </row>
    <row r="527" spans="4:12" s="1" customFormat="1">
      <c r="D527" s="1" t="str">
        <f t="shared" si="26"/>
        <v/>
      </c>
      <c r="E527" s="26"/>
      <c r="K527" s="32"/>
      <c r="L527" s="30"/>
    </row>
    <row r="528" spans="4:12" s="1" customFormat="1">
      <c r="D528" s="1" t="str">
        <f t="shared" si="26"/>
        <v/>
      </c>
      <c r="E528" s="26"/>
      <c r="K528" s="32"/>
      <c r="L528" s="30"/>
    </row>
    <row r="529" spans="4:12" s="1" customFormat="1">
      <c r="D529" s="1" t="str">
        <f t="shared" si="26"/>
        <v/>
      </c>
      <c r="E529" s="26"/>
      <c r="K529" s="32"/>
      <c r="L529" s="30"/>
    </row>
    <row r="530" spans="4:12" s="1" customFormat="1">
      <c r="D530" s="1" t="str">
        <f t="shared" si="26"/>
        <v/>
      </c>
      <c r="E530" s="26"/>
      <c r="K530" s="32"/>
      <c r="L530" s="30"/>
    </row>
    <row r="531" spans="4:12" s="1" customFormat="1">
      <c r="D531" s="1" t="str">
        <f t="shared" si="26"/>
        <v/>
      </c>
      <c r="E531" s="26"/>
      <c r="K531" s="32"/>
      <c r="L531" s="30"/>
    </row>
    <row r="532" spans="4:12" s="1" customFormat="1">
      <c r="D532" s="1" t="str">
        <f t="shared" si="26"/>
        <v/>
      </c>
      <c r="E532" s="26"/>
      <c r="K532" s="32"/>
      <c r="L532" s="30"/>
    </row>
    <row r="533" spans="4:12" s="1" customFormat="1">
      <c r="D533" s="1" t="str">
        <f t="shared" si="26"/>
        <v/>
      </c>
      <c r="E533" s="26"/>
      <c r="K533" s="32"/>
      <c r="L533" s="30"/>
    </row>
    <row r="534" spans="4:12" s="1" customFormat="1">
      <c r="D534" s="1" t="str">
        <f t="shared" si="26"/>
        <v/>
      </c>
      <c r="E534" s="26"/>
      <c r="K534" s="32"/>
      <c r="L534" s="30"/>
    </row>
    <row r="535" spans="4:12" s="1" customFormat="1">
      <c r="D535" s="1" t="str">
        <f t="shared" si="26"/>
        <v/>
      </c>
      <c r="E535" s="26"/>
      <c r="K535" s="32"/>
      <c r="L535" s="30"/>
    </row>
    <row r="536" spans="4:12" s="1" customFormat="1">
      <c r="D536" s="1" t="str">
        <f t="shared" si="26"/>
        <v/>
      </c>
      <c r="E536" s="26"/>
      <c r="K536" s="32"/>
      <c r="L536" s="30"/>
    </row>
    <row r="537" spans="4:12" s="1" customFormat="1">
      <c r="D537" s="1" t="str">
        <f t="shared" si="26"/>
        <v/>
      </c>
      <c r="E537" s="26"/>
      <c r="K537" s="32"/>
      <c r="L537" s="30"/>
    </row>
    <row r="538" spans="4:12" s="1" customFormat="1">
      <c r="D538" s="1" t="str">
        <f t="shared" si="26"/>
        <v/>
      </c>
      <c r="E538" s="26"/>
      <c r="K538" s="32"/>
      <c r="L538" s="30"/>
    </row>
    <row r="539" spans="4:12" s="1" customFormat="1">
      <c r="D539" s="1" t="str">
        <f t="shared" si="26"/>
        <v/>
      </c>
      <c r="E539" s="26"/>
      <c r="K539" s="32"/>
      <c r="L539" s="30"/>
    </row>
    <row r="540" spans="4:12" s="1" customFormat="1">
      <c r="D540" s="1" t="str">
        <f t="shared" si="26"/>
        <v/>
      </c>
      <c r="E540" s="26"/>
      <c r="K540" s="32"/>
      <c r="L540" s="30"/>
    </row>
    <row r="541" spans="4:12" s="1" customFormat="1">
      <c r="D541" s="1" t="str">
        <f t="shared" si="26"/>
        <v/>
      </c>
      <c r="E541" s="26"/>
      <c r="K541" s="32"/>
      <c r="L541" s="30"/>
    </row>
    <row r="542" spans="4:12" s="1" customFormat="1">
      <c r="D542" s="1" t="str">
        <f t="shared" si="26"/>
        <v/>
      </c>
      <c r="E542" s="26"/>
      <c r="K542" s="32"/>
      <c r="L542" s="30"/>
    </row>
    <row r="543" spans="4:12" s="1" customFormat="1">
      <c r="D543" s="1" t="str">
        <f t="shared" si="26"/>
        <v/>
      </c>
      <c r="E543" s="26"/>
      <c r="K543" s="32"/>
      <c r="L543" s="30"/>
    </row>
    <row r="544" spans="4:12" s="1" customFormat="1">
      <c r="D544" s="1" t="str">
        <f t="shared" si="26"/>
        <v/>
      </c>
      <c r="E544" s="26"/>
      <c r="K544" s="32"/>
      <c r="L544" s="30"/>
    </row>
    <row r="545" spans="4:12" s="1" customFormat="1">
      <c r="D545" s="1" t="str">
        <f t="shared" si="26"/>
        <v/>
      </c>
      <c r="E545" s="26"/>
      <c r="K545" s="32"/>
      <c r="L545" s="30"/>
    </row>
    <row r="546" spans="4:12" s="1" customFormat="1">
      <c r="D546" s="1" t="str">
        <f t="shared" si="26"/>
        <v/>
      </c>
      <c r="E546" s="26"/>
      <c r="K546" s="32"/>
      <c r="L546" s="30"/>
    </row>
    <row r="547" spans="4:12" s="1" customFormat="1">
      <c r="D547" s="1" t="str">
        <f t="shared" si="26"/>
        <v/>
      </c>
      <c r="E547" s="26"/>
      <c r="K547" s="32"/>
      <c r="L547" s="30"/>
    </row>
    <row r="548" spans="4:12" s="1" customFormat="1">
      <c r="D548" s="1" t="str">
        <f t="shared" si="26"/>
        <v/>
      </c>
      <c r="E548" s="26"/>
      <c r="K548" s="32"/>
      <c r="L548" s="30"/>
    </row>
    <row r="549" spans="4:12" s="1" customFormat="1">
      <c r="D549" s="1" t="str">
        <f t="shared" si="26"/>
        <v/>
      </c>
      <c r="E549" s="26"/>
      <c r="K549" s="32"/>
      <c r="L549" s="30"/>
    </row>
    <row r="550" spans="4:12" s="1" customFormat="1">
      <c r="D550" s="1" t="str">
        <f t="shared" si="26"/>
        <v/>
      </c>
      <c r="E550" s="26"/>
      <c r="K550" s="32"/>
      <c r="L550" s="30"/>
    </row>
    <row r="551" spans="4:12" s="1" customFormat="1">
      <c r="D551" s="1" t="str">
        <f t="shared" si="26"/>
        <v/>
      </c>
      <c r="E551" s="26"/>
      <c r="K551" s="32"/>
      <c r="L551" s="30"/>
    </row>
    <row r="552" spans="4:12" s="1" customFormat="1">
      <c r="D552" s="1" t="str">
        <f t="shared" si="26"/>
        <v/>
      </c>
      <c r="E552" s="26"/>
      <c r="K552" s="32"/>
      <c r="L552" s="30"/>
    </row>
    <row r="553" spans="4:12" s="1" customFormat="1">
      <c r="D553" s="1" t="str">
        <f t="shared" si="26"/>
        <v/>
      </c>
      <c r="E553" s="26"/>
      <c r="K553" s="32"/>
      <c r="L553" s="30"/>
    </row>
    <row r="554" spans="4:12" s="1" customFormat="1">
      <c r="D554" s="1" t="str">
        <f t="shared" si="26"/>
        <v/>
      </c>
      <c r="E554" s="26"/>
      <c r="K554" s="32"/>
      <c r="L554" s="30"/>
    </row>
    <row r="555" spans="4:12" s="1" customFormat="1">
      <c r="D555" s="1" t="str">
        <f t="shared" si="26"/>
        <v/>
      </c>
      <c r="E555" s="26"/>
      <c r="K555" s="32"/>
      <c r="L555" s="30"/>
    </row>
    <row r="556" spans="4:12" s="1" customFormat="1">
      <c r="D556" s="1" t="str">
        <f t="shared" si="26"/>
        <v/>
      </c>
      <c r="E556" s="26"/>
      <c r="K556" s="32"/>
      <c r="L556" s="30"/>
    </row>
    <row r="557" spans="4:12" s="1" customFormat="1">
      <c r="D557" s="1" t="str">
        <f t="shared" si="26"/>
        <v/>
      </c>
      <c r="E557" s="26"/>
      <c r="K557" s="32"/>
      <c r="L557" s="30"/>
    </row>
    <row r="558" spans="4:12" s="1" customFormat="1">
      <c r="D558" s="1" t="str">
        <f t="shared" si="26"/>
        <v/>
      </c>
      <c r="E558" s="26"/>
      <c r="K558" s="32"/>
      <c r="L558" s="30"/>
    </row>
    <row r="559" spans="4:12" s="1" customFormat="1">
      <c r="D559" s="1" t="str">
        <f t="shared" si="26"/>
        <v/>
      </c>
      <c r="E559" s="26"/>
      <c r="K559" s="32"/>
      <c r="L559" s="30"/>
    </row>
    <row r="560" spans="4:12" s="1" customFormat="1">
      <c r="D560" s="1" t="str">
        <f t="shared" si="26"/>
        <v/>
      </c>
      <c r="E560" s="26"/>
      <c r="K560" s="32"/>
      <c r="L560" s="30"/>
    </row>
    <row r="561" spans="4:12" s="1" customFormat="1">
      <c r="D561" s="1" t="str">
        <f t="shared" si="26"/>
        <v/>
      </c>
      <c r="E561" s="26"/>
      <c r="K561" s="32"/>
      <c r="L561" s="30"/>
    </row>
    <row r="562" spans="4:12" s="1" customFormat="1">
      <c r="D562" s="1" t="str">
        <f t="shared" si="26"/>
        <v/>
      </c>
      <c r="E562" s="26"/>
      <c r="K562" s="32"/>
      <c r="L562" s="30"/>
    </row>
    <row r="563" spans="4:12" s="1" customFormat="1">
      <c r="D563" s="1" t="str">
        <f t="shared" si="26"/>
        <v/>
      </c>
      <c r="E563" s="26"/>
      <c r="K563" s="32"/>
      <c r="L563" s="30"/>
    </row>
    <row r="564" spans="4:12" s="1" customFormat="1">
      <c r="D564" s="1" t="str">
        <f t="shared" si="26"/>
        <v/>
      </c>
      <c r="E564" s="26"/>
      <c r="K564" s="32"/>
      <c r="L564" s="30"/>
    </row>
    <row r="565" spans="4:12" s="1" customFormat="1">
      <c r="D565" s="1" t="str">
        <f t="shared" si="26"/>
        <v/>
      </c>
      <c r="E565" s="26"/>
      <c r="K565" s="32"/>
      <c r="L565" s="30"/>
    </row>
    <row r="566" spans="4:12" s="1" customFormat="1">
      <c r="D566" s="1" t="str">
        <f t="shared" si="26"/>
        <v/>
      </c>
      <c r="E566" s="26"/>
      <c r="K566" s="32"/>
      <c r="L566" s="30"/>
    </row>
    <row r="567" spans="4:12" s="1" customFormat="1">
      <c r="D567" s="1" t="str">
        <f t="shared" si="26"/>
        <v/>
      </c>
      <c r="E567" s="26"/>
      <c r="K567" s="32"/>
      <c r="L567" s="30"/>
    </row>
    <row r="568" spans="4:12" s="1" customFormat="1">
      <c r="D568" s="1" t="str">
        <f t="shared" si="26"/>
        <v/>
      </c>
      <c r="E568" s="26"/>
      <c r="K568" s="32"/>
      <c r="L568" s="30"/>
    </row>
    <row r="569" spans="4:12" s="1" customFormat="1">
      <c r="D569" s="1" t="str">
        <f t="shared" si="26"/>
        <v/>
      </c>
      <c r="E569" s="26"/>
      <c r="K569" s="32"/>
      <c r="L569" s="30"/>
    </row>
    <row r="570" spans="4:12" s="1" customFormat="1">
      <c r="D570" s="1" t="str">
        <f t="shared" si="26"/>
        <v/>
      </c>
      <c r="E570" s="26"/>
      <c r="K570" s="32"/>
      <c r="L570" s="30"/>
    </row>
    <row r="571" spans="4:12" s="1" customFormat="1">
      <c r="D571" s="1" t="str">
        <f t="shared" si="26"/>
        <v/>
      </c>
      <c r="E571" s="26"/>
      <c r="K571" s="32"/>
      <c r="L571" s="30"/>
    </row>
    <row r="572" spans="4:12" s="1" customFormat="1">
      <c r="D572" s="1" t="str">
        <f t="shared" si="26"/>
        <v/>
      </c>
      <c r="E572" s="26"/>
      <c r="K572" s="32"/>
      <c r="L572" s="30"/>
    </row>
    <row r="573" spans="4:12" s="1" customFormat="1">
      <c r="D573" s="1" t="str">
        <f t="shared" si="26"/>
        <v/>
      </c>
      <c r="E573" s="26"/>
      <c r="K573" s="32"/>
      <c r="L573" s="30"/>
    </row>
    <row r="574" spans="4:12" s="1" customFormat="1">
      <c r="D574" s="1" t="str">
        <f t="shared" si="26"/>
        <v/>
      </c>
      <c r="E574" s="26"/>
      <c r="K574" s="32"/>
      <c r="L574" s="30"/>
    </row>
    <row r="575" spans="4:12" s="1" customFormat="1">
      <c r="D575" s="1" t="str">
        <f t="shared" si="26"/>
        <v/>
      </c>
      <c r="E575" s="26"/>
      <c r="K575" s="32"/>
      <c r="L575" s="30"/>
    </row>
    <row r="576" spans="4:12" s="1" customFormat="1">
      <c r="D576" s="1" t="str">
        <f t="shared" si="26"/>
        <v/>
      </c>
      <c r="E576" s="26"/>
      <c r="K576" s="32"/>
      <c r="L576" s="30"/>
    </row>
    <row r="577" spans="4:12" s="1" customFormat="1">
      <c r="D577" s="1" t="str">
        <f t="shared" si="26"/>
        <v/>
      </c>
      <c r="E577" s="26"/>
      <c r="K577" s="32"/>
      <c r="L577" s="30"/>
    </row>
    <row r="578" spans="4:12" s="1" customFormat="1">
      <c r="D578" s="1" t="str">
        <f t="shared" si="26"/>
        <v/>
      </c>
      <c r="E578" s="26"/>
      <c r="K578" s="32"/>
      <c r="L578" s="30"/>
    </row>
    <row r="579" spans="4:12" s="1" customFormat="1">
      <c r="D579" s="1" t="str">
        <f t="shared" si="26"/>
        <v/>
      </c>
      <c r="E579" s="26"/>
      <c r="K579" s="32"/>
      <c r="L579" s="30"/>
    </row>
    <row r="580" spans="4:12" s="1" customFormat="1">
      <c r="D580" s="1" t="str">
        <f t="shared" si="26"/>
        <v/>
      </c>
      <c r="E580" s="26"/>
      <c r="K580" s="32"/>
      <c r="L580" s="30"/>
    </row>
    <row r="581" spans="4:12" s="1" customFormat="1">
      <c r="D581" s="1" t="str">
        <f t="shared" si="26"/>
        <v/>
      </c>
      <c r="E581" s="26"/>
      <c r="K581" s="32"/>
      <c r="L581" s="30"/>
    </row>
    <row r="582" spans="4:12" s="1" customFormat="1">
      <c r="D582" s="1" t="str">
        <f t="shared" si="26"/>
        <v/>
      </c>
      <c r="E582" s="26"/>
      <c r="K582" s="32"/>
      <c r="L582" s="30"/>
    </row>
    <row r="583" spans="4:12" s="1" customFormat="1">
      <c r="D583" s="1" t="str">
        <f t="shared" si="26"/>
        <v/>
      </c>
      <c r="E583" s="26"/>
      <c r="K583" s="32"/>
      <c r="L583" s="30"/>
    </row>
    <row r="584" spans="4:12" s="1" customFormat="1">
      <c r="D584" s="1" t="str">
        <f t="shared" ref="D584:D647" si="27">IF(F584&lt;&gt;"",RIGHT(F584, LEN(F584) - FIND(" - ", F584) - 2),"")</f>
        <v/>
      </c>
      <c r="E584" s="26"/>
      <c r="K584" s="32"/>
      <c r="L584" s="30"/>
    </row>
    <row r="585" spans="4:12" s="1" customFormat="1">
      <c r="D585" s="1" t="str">
        <f t="shared" si="27"/>
        <v/>
      </c>
      <c r="E585" s="26"/>
      <c r="K585" s="32"/>
      <c r="L585" s="30"/>
    </row>
    <row r="586" spans="4:12" s="1" customFormat="1">
      <c r="D586" s="1" t="str">
        <f t="shared" si="27"/>
        <v/>
      </c>
      <c r="E586" s="26"/>
      <c r="K586" s="32"/>
      <c r="L586" s="30"/>
    </row>
    <row r="587" spans="4:12" s="1" customFormat="1">
      <c r="D587" s="1" t="str">
        <f t="shared" si="27"/>
        <v/>
      </c>
      <c r="E587" s="26"/>
      <c r="K587" s="32"/>
      <c r="L587" s="30"/>
    </row>
    <row r="588" spans="4:12" s="1" customFormat="1">
      <c r="D588" s="1" t="str">
        <f t="shared" si="27"/>
        <v/>
      </c>
      <c r="E588" s="26"/>
      <c r="K588" s="32"/>
      <c r="L588" s="30"/>
    </row>
    <row r="589" spans="4:12" s="1" customFormat="1">
      <c r="D589" s="1" t="str">
        <f t="shared" si="27"/>
        <v/>
      </c>
      <c r="E589" s="26"/>
      <c r="K589" s="32"/>
      <c r="L589" s="30"/>
    </row>
    <row r="590" spans="4:12" s="1" customFormat="1">
      <c r="D590" s="1" t="str">
        <f t="shared" si="27"/>
        <v/>
      </c>
      <c r="E590" s="26"/>
      <c r="K590" s="32"/>
      <c r="L590" s="30"/>
    </row>
    <row r="591" spans="4:12" s="1" customFormat="1">
      <c r="D591" s="1" t="str">
        <f t="shared" si="27"/>
        <v/>
      </c>
      <c r="E591" s="26"/>
      <c r="K591" s="32"/>
      <c r="L591" s="30"/>
    </row>
    <row r="592" spans="4:12" s="1" customFormat="1">
      <c r="D592" s="1" t="str">
        <f t="shared" si="27"/>
        <v/>
      </c>
      <c r="E592" s="26"/>
      <c r="K592" s="32"/>
      <c r="L592" s="30"/>
    </row>
    <row r="593" spans="4:12" s="1" customFormat="1">
      <c r="D593" s="1" t="str">
        <f t="shared" si="27"/>
        <v/>
      </c>
      <c r="E593" s="26"/>
      <c r="K593" s="32"/>
      <c r="L593" s="30"/>
    </row>
    <row r="594" spans="4:12" s="1" customFormat="1">
      <c r="D594" s="1" t="str">
        <f t="shared" si="27"/>
        <v/>
      </c>
      <c r="E594" s="26"/>
      <c r="K594" s="32"/>
      <c r="L594" s="30"/>
    </row>
    <row r="595" spans="4:12" s="1" customFormat="1">
      <c r="D595" s="1" t="str">
        <f t="shared" si="27"/>
        <v/>
      </c>
      <c r="E595" s="26"/>
      <c r="K595" s="32"/>
      <c r="L595" s="30"/>
    </row>
    <row r="596" spans="4:12" s="1" customFormat="1">
      <c r="D596" s="1" t="str">
        <f t="shared" si="27"/>
        <v/>
      </c>
      <c r="E596" s="26"/>
      <c r="K596" s="32"/>
      <c r="L596" s="30"/>
    </row>
    <row r="597" spans="4:12" s="1" customFormat="1">
      <c r="D597" s="1" t="str">
        <f t="shared" si="27"/>
        <v/>
      </c>
      <c r="E597" s="26"/>
      <c r="K597" s="32"/>
      <c r="L597" s="30"/>
    </row>
    <row r="598" spans="4:12" s="1" customFormat="1">
      <c r="D598" s="1" t="str">
        <f t="shared" si="27"/>
        <v/>
      </c>
      <c r="E598" s="26"/>
      <c r="K598" s="32"/>
      <c r="L598" s="30"/>
    </row>
    <row r="599" spans="4:12" s="1" customFormat="1">
      <c r="D599" s="1" t="str">
        <f t="shared" si="27"/>
        <v/>
      </c>
      <c r="E599" s="26"/>
      <c r="K599" s="32"/>
      <c r="L599" s="30"/>
    </row>
    <row r="600" spans="4:12" s="1" customFormat="1">
      <c r="D600" s="1" t="str">
        <f t="shared" si="27"/>
        <v/>
      </c>
      <c r="E600" s="26"/>
      <c r="K600" s="32"/>
      <c r="L600" s="30"/>
    </row>
    <row r="601" spans="4:12" s="1" customFormat="1">
      <c r="D601" s="1" t="str">
        <f t="shared" si="27"/>
        <v/>
      </c>
      <c r="E601" s="26"/>
      <c r="K601" s="32"/>
      <c r="L601" s="30"/>
    </row>
    <row r="602" spans="4:12" s="1" customFormat="1">
      <c r="D602" s="1" t="str">
        <f t="shared" si="27"/>
        <v/>
      </c>
      <c r="E602" s="26"/>
      <c r="K602" s="32"/>
      <c r="L602" s="30"/>
    </row>
    <row r="603" spans="4:12" s="1" customFormat="1">
      <c r="D603" s="1" t="str">
        <f t="shared" si="27"/>
        <v/>
      </c>
      <c r="E603" s="26"/>
      <c r="K603" s="32"/>
      <c r="L603" s="30"/>
    </row>
    <row r="604" spans="4:12" s="1" customFormat="1">
      <c r="D604" s="1" t="str">
        <f t="shared" si="27"/>
        <v/>
      </c>
      <c r="E604" s="26"/>
      <c r="K604" s="32"/>
      <c r="L604" s="30"/>
    </row>
    <row r="605" spans="4:12" s="1" customFormat="1">
      <c r="D605" s="1" t="str">
        <f t="shared" si="27"/>
        <v/>
      </c>
      <c r="E605" s="26"/>
      <c r="K605" s="32"/>
      <c r="L605" s="30"/>
    </row>
    <row r="606" spans="4:12" s="1" customFormat="1">
      <c r="D606" s="1" t="str">
        <f t="shared" si="27"/>
        <v/>
      </c>
      <c r="E606" s="26"/>
      <c r="K606" s="32"/>
      <c r="L606" s="30"/>
    </row>
    <row r="607" spans="4:12" s="1" customFormat="1">
      <c r="D607" s="1" t="str">
        <f t="shared" si="27"/>
        <v/>
      </c>
      <c r="E607" s="26"/>
      <c r="K607" s="32"/>
      <c r="L607" s="30"/>
    </row>
    <row r="608" spans="4:12" s="1" customFormat="1">
      <c r="D608" s="1" t="str">
        <f t="shared" si="27"/>
        <v/>
      </c>
      <c r="E608" s="26"/>
      <c r="K608" s="32"/>
      <c r="L608" s="30"/>
    </row>
    <row r="609" spans="4:12" s="1" customFormat="1">
      <c r="D609" s="1" t="str">
        <f t="shared" si="27"/>
        <v/>
      </c>
      <c r="E609" s="26"/>
      <c r="K609" s="32"/>
      <c r="L609" s="30"/>
    </row>
    <row r="610" spans="4:12" s="1" customFormat="1">
      <c r="D610" s="1" t="str">
        <f t="shared" si="27"/>
        <v/>
      </c>
      <c r="E610" s="26"/>
      <c r="K610" s="32"/>
      <c r="L610" s="30"/>
    </row>
    <row r="611" spans="4:12" s="1" customFormat="1">
      <c r="D611" s="1" t="str">
        <f t="shared" si="27"/>
        <v/>
      </c>
      <c r="E611" s="26"/>
      <c r="K611" s="32"/>
      <c r="L611" s="30"/>
    </row>
    <row r="612" spans="4:12" s="1" customFormat="1">
      <c r="D612" s="1" t="str">
        <f t="shared" si="27"/>
        <v/>
      </c>
      <c r="E612" s="26"/>
      <c r="K612" s="32"/>
      <c r="L612" s="30"/>
    </row>
    <row r="613" spans="4:12" s="1" customFormat="1">
      <c r="D613" s="1" t="str">
        <f t="shared" si="27"/>
        <v/>
      </c>
      <c r="E613" s="26"/>
      <c r="K613" s="32"/>
      <c r="L613" s="30"/>
    </row>
    <row r="614" spans="4:12" s="1" customFormat="1">
      <c r="D614" s="1" t="str">
        <f t="shared" si="27"/>
        <v/>
      </c>
      <c r="E614" s="26"/>
      <c r="K614" s="32"/>
      <c r="L614" s="30"/>
    </row>
    <row r="615" spans="4:12" s="1" customFormat="1">
      <c r="D615" s="1" t="str">
        <f t="shared" si="27"/>
        <v/>
      </c>
      <c r="E615" s="26"/>
      <c r="K615" s="32"/>
      <c r="L615" s="30"/>
    </row>
    <row r="616" spans="4:12" s="1" customFormat="1">
      <c r="D616" s="1" t="str">
        <f t="shared" si="27"/>
        <v/>
      </c>
      <c r="E616" s="26"/>
      <c r="K616" s="32"/>
      <c r="L616" s="30"/>
    </row>
    <row r="617" spans="4:12" s="1" customFormat="1">
      <c r="D617" s="1" t="str">
        <f t="shared" si="27"/>
        <v/>
      </c>
      <c r="E617" s="26"/>
      <c r="K617" s="32"/>
      <c r="L617" s="30"/>
    </row>
    <row r="618" spans="4:12" s="1" customFormat="1">
      <c r="D618" s="1" t="str">
        <f t="shared" si="27"/>
        <v/>
      </c>
      <c r="E618" s="26"/>
      <c r="K618" s="32"/>
      <c r="L618" s="30"/>
    </row>
    <row r="619" spans="4:12" s="1" customFormat="1">
      <c r="D619" s="1" t="str">
        <f t="shared" si="27"/>
        <v/>
      </c>
      <c r="E619" s="26"/>
      <c r="K619" s="32"/>
      <c r="L619" s="30"/>
    </row>
    <row r="620" spans="4:12" s="1" customFormat="1">
      <c r="D620" s="1" t="str">
        <f t="shared" si="27"/>
        <v/>
      </c>
      <c r="E620" s="26"/>
      <c r="K620" s="32"/>
      <c r="L620" s="30"/>
    </row>
    <row r="621" spans="4:12" s="1" customFormat="1">
      <c r="D621" s="1" t="str">
        <f t="shared" si="27"/>
        <v/>
      </c>
      <c r="E621" s="26"/>
      <c r="K621" s="32"/>
      <c r="L621" s="30"/>
    </row>
    <row r="622" spans="4:12" s="1" customFormat="1">
      <c r="D622" s="1" t="str">
        <f t="shared" si="27"/>
        <v/>
      </c>
      <c r="E622" s="26"/>
      <c r="K622" s="32"/>
      <c r="L622" s="30"/>
    </row>
    <row r="623" spans="4:12" s="1" customFormat="1">
      <c r="D623" s="1" t="str">
        <f t="shared" si="27"/>
        <v/>
      </c>
      <c r="E623" s="26"/>
      <c r="K623" s="32"/>
      <c r="L623" s="30"/>
    </row>
    <row r="624" spans="4:12" s="1" customFormat="1">
      <c r="D624" s="1" t="str">
        <f t="shared" si="27"/>
        <v/>
      </c>
      <c r="E624" s="26"/>
      <c r="K624" s="32"/>
      <c r="L624" s="30"/>
    </row>
    <row r="625" spans="4:12" s="1" customFormat="1">
      <c r="D625" s="1" t="str">
        <f t="shared" si="27"/>
        <v/>
      </c>
      <c r="E625" s="26"/>
      <c r="K625" s="32"/>
      <c r="L625" s="30"/>
    </row>
    <row r="626" spans="4:12" s="1" customFormat="1">
      <c r="D626" s="1" t="str">
        <f t="shared" si="27"/>
        <v/>
      </c>
      <c r="E626" s="26"/>
      <c r="K626" s="32"/>
      <c r="L626" s="30"/>
    </row>
    <row r="627" spans="4:12" s="1" customFormat="1">
      <c r="D627" s="1" t="str">
        <f t="shared" si="27"/>
        <v/>
      </c>
      <c r="E627" s="26"/>
      <c r="K627" s="32"/>
      <c r="L627" s="30"/>
    </row>
    <row r="628" spans="4:12" s="1" customFormat="1">
      <c r="D628" s="1" t="str">
        <f t="shared" si="27"/>
        <v/>
      </c>
      <c r="E628" s="26"/>
      <c r="K628" s="32"/>
      <c r="L628" s="30"/>
    </row>
    <row r="629" spans="4:12" s="1" customFormat="1">
      <c r="D629" s="1" t="str">
        <f t="shared" si="27"/>
        <v/>
      </c>
      <c r="E629" s="26"/>
      <c r="K629" s="32"/>
      <c r="L629" s="30"/>
    </row>
    <row r="630" spans="4:12" s="1" customFormat="1">
      <c r="D630" s="1" t="str">
        <f t="shared" si="27"/>
        <v/>
      </c>
      <c r="E630" s="26"/>
      <c r="K630" s="32"/>
      <c r="L630" s="30"/>
    </row>
    <row r="631" spans="4:12" s="1" customFormat="1">
      <c r="D631" s="1" t="str">
        <f t="shared" si="27"/>
        <v/>
      </c>
      <c r="E631" s="26"/>
      <c r="K631" s="32"/>
      <c r="L631" s="30"/>
    </row>
    <row r="632" spans="4:12" s="1" customFormat="1">
      <c r="D632" s="1" t="str">
        <f t="shared" si="27"/>
        <v/>
      </c>
      <c r="E632" s="26"/>
      <c r="K632" s="32"/>
      <c r="L632" s="30"/>
    </row>
    <row r="633" spans="4:12" s="1" customFormat="1">
      <c r="D633" s="1" t="str">
        <f t="shared" si="27"/>
        <v/>
      </c>
      <c r="E633" s="26"/>
      <c r="K633" s="32"/>
      <c r="L633" s="30"/>
    </row>
    <row r="634" spans="4:12" s="1" customFormat="1">
      <c r="D634" s="1" t="str">
        <f t="shared" si="27"/>
        <v/>
      </c>
      <c r="E634" s="26"/>
      <c r="K634" s="32"/>
      <c r="L634" s="30"/>
    </row>
    <row r="635" spans="4:12" s="1" customFormat="1">
      <c r="D635" s="1" t="str">
        <f t="shared" si="27"/>
        <v/>
      </c>
      <c r="E635" s="26"/>
      <c r="K635" s="32"/>
      <c r="L635" s="30"/>
    </row>
    <row r="636" spans="4:12" s="1" customFormat="1">
      <c r="D636" s="1" t="str">
        <f t="shared" si="27"/>
        <v/>
      </c>
      <c r="E636" s="26"/>
      <c r="K636" s="32"/>
      <c r="L636" s="30"/>
    </row>
    <row r="637" spans="4:12" s="1" customFormat="1">
      <c r="D637" s="1" t="str">
        <f t="shared" si="27"/>
        <v/>
      </c>
      <c r="E637" s="26"/>
      <c r="K637" s="32"/>
      <c r="L637" s="30"/>
    </row>
    <row r="638" spans="4:12" s="1" customFormat="1">
      <c r="D638" s="1" t="str">
        <f t="shared" si="27"/>
        <v/>
      </c>
      <c r="E638" s="26"/>
      <c r="K638" s="32"/>
      <c r="L638" s="30"/>
    </row>
    <row r="639" spans="4:12" s="1" customFormat="1">
      <c r="D639" s="1" t="str">
        <f t="shared" si="27"/>
        <v/>
      </c>
      <c r="E639" s="26"/>
      <c r="K639" s="32"/>
      <c r="L639" s="30"/>
    </row>
    <row r="640" spans="4:12" s="1" customFormat="1">
      <c r="D640" s="1" t="str">
        <f t="shared" si="27"/>
        <v/>
      </c>
      <c r="E640" s="26"/>
      <c r="K640" s="32"/>
      <c r="L640" s="30"/>
    </row>
    <row r="641" spans="4:12" s="1" customFormat="1">
      <c r="D641" s="1" t="str">
        <f t="shared" si="27"/>
        <v/>
      </c>
      <c r="E641" s="26"/>
      <c r="K641" s="32"/>
      <c r="L641" s="30"/>
    </row>
    <row r="642" spans="4:12" s="1" customFormat="1">
      <c r="D642" s="1" t="str">
        <f t="shared" si="27"/>
        <v/>
      </c>
      <c r="E642" s="26"/>
      <c r="K642" s="32"/>
      <c r="L642" s="30"/>
    </row>
    <row r="643" spans="4:12" s="1" customFormat="1">
      <c r="D643" s="1" t="str">
        <f t="shared" si="27"/>
        <v/>
      </c>
      <c r="E643" s="26"/>
      <c r="K643" s="32"/>
      <c r="L643" s="30"/>
    </row>
    <row r="644" spans="4:12" s="1" customFormat="1">
      <c r="D644" s="1" t="str">
        <f t="shared" si="27"/>
        <v/>
      </c>
      <c r="E644" s="26"/>
      <c r="K644" s="32"/>
      <c r="L644" s="30"/>
    </row>
    <row r="645" spans="4:12" s="1" customFormat="1">
      <c r="D645" s="1" t="str">
        <f t="shared" si="27"/>
        <v/>
      </c>
      <c r="E645" s="26"/>
      <c r="K645" s="32"/>
      <c r="L645" s="30"/>
    </row>
    <row r="646" spans="4:12" s="1" customFormat="1">
      <c r="D646" s="1" t="str">
        <f t="shared" si="27"/>
        <v/>
      </c>
      <c r="E646" s="26"/>
      <c r="K646" s="32"/>
      <c r="L646" s="30"/>
    </row>
    <row r="647" spans="4:12" s="1" customFormat="1">
      <c r="D647" s="1" t="str">
        <f t="shared" si="27"/>
        <v/>
      </c>
      <c r="E647" s="26"/>
      <c r="K647" s="32"/>
      <c r="L647" s="30"/>
    </row>
    <row r="648" spans="4:12" s="1" customFormat="1">
      <c r="D648" s="1" t="str">
        <f t="shared" ref="D648:D711" si="28">IF(F648&lt;&gt;"",RIGHT(F648, LEN(F648) - FIND(" - ", F648) - 2),"")</f>
        <v/>
      </c>
      <c r="E648" s="26"/>
      <c r="K648" s="32"/>
      <c r="L648" s="30"/>
    </row>
    <row r="649" spans="4:12" s="1" customFormat="1">
      <c r="D649" s="1" t="str">
        <f t="shared" si="28"/>
        <v/>
      </c>
      <c r="E649" s="26"/>
      <c r="K649" s="32"/>
      <c r="L649" s="30"/>
    </row>
    <row r="650" spans="4:12" s="1" customFormat="1">
      <c r="D650" s="1" t="str">
        <f t="shared" si="28"/>
        <v/>
      </c>
      <c r="E650" s="26"/>
      <c r="K650" s="32"/>
      <c r="L650" s="30"/>
    </row>
    <row r="651" spans="4:12" s="1" customFormat="1">
      <c r="D651" s="1" t="str">
        <f t="shared" si="28"/>
        <v/>
      </c>
      <c r="E651" s="26"/>
      <c r="K651" s="32"/>
      <c r="L651" s="30"/>
    </row>
    <row r="652" spans="4:12" s="1" customFormat="1">
      <c r="D652" s="1" t="str">
        <f t="shared" si="28"/>
        <v/>
      </c>
      <c r="E652" s="26"/>
      <c r="K652" s="32"/>
      <c r="L652" s="30"/>
    </row>
    <row r="653" spans="4:12" s="1" customFormat="1">
      <c r="D653" s="1" t="str">
        <f t="shared" si="28"/>
        <v/>
      </c>
      <c r="E653" s="26"/>
      <c r="K653" s="32"/>
      <c r="L653" s="30"/>
    </row>
    <row r="654" spans="4:12" s="1" customFormat="1">
      <c r="D654" s="1" t="str">
        <f t="shared" si="28"/>
        <v/>
      </c>
      <c r="E654" s="26"/>
      <c r="K654" s="32"/>
      <c r="L654" s="30"/>
    </row>
    <row r="655" spans="4:12" s="1" customFormat="1">
      <c r="D655" s="1" t="str">
        <f t="shared" si="28"/>
        <v/>
      </c>
      <c r="E655" s="26"/>
      <c r="K655" s="32"/>
      <c r="L655" s="30"/>
    </row>
    <row r="656" spans="4:12" s="1" customFormat="1">
      <c r="D656" s="1" t="str">
        <f t="shared" si="28"/>
        <v/>
      </c>
      <c r="E656" s="26"/>
      <c r="K656" s="32"/>
      <c r="L656" s="30"/>
    </row>
    <row r="657" spans="4:12" s="1" customFormat="1">
      <c r="D657" s="1" t="str">
        <f t="shared" si="28"/>
        <v/>
      </c>
      <c r="E657" s="26"/>
      <c r="K657" s="32"/>
      <c r="L657" s="30"/>
    </row>
    <row r="658" spans="4:12" s="1" customFormat="1">
      <c r="D658" s="1" t="str">
        <f t="shared" si="28"/>
        <v/>
      </c>
      <c r="E658" s="26"/>
      <c r="K658" s="32"/>
      <c r="L658" s="30"/>
    </row>
    <row r="659" spans="4:12" s="1" customFormat="1">
      <c r="D659" s="1" t="str">
        <f t="shared" si="28"/>
        <v/>
      </c>
      <c r="E659" s="26"/>
      <c r="K659" s="32"/>
      <c r="L659" s="30"/>
    </row>
    <row r="660" spans="4:12" s="1" customFormat="1">
      <c r="D660" s="1" t="str">
        <f t="shared" si="28"/>
        <v/>
      </c>
      <c r="E660" s="26"/>
      <c r="K660" s="32"/>
      <c r="L660" s="30"/>
    </row>
    <row r="661" spans="4:12" s="1" customFormat="1">
      <c r="D661" s="1" t="str">
        <f t="shared" si="28"/>
        <v/>
      </c>
      <c r="E661" s="26"/>
      <c r="K661" s="32"/>
      <c r="L661" s="30"/>
    </row>
    <row r="662" spans="4:12" s="1" customFormat="1">
      <c r="D662" s="1" t="str">
        <f t="shared" si="28"/>
        <v/>
      </c>
      <c r="E662" s="26"/>
      <c r="K662" s="32"/>
      <c r="L662" s="30"/>
    </row>
    <row r="663" spans="4:12" s="1" customFormat="1">
      <c r="D663" s="1" t="str">
        <f t="shared" si="28"/>
        <v/>
      </c>
      <c r="E663" s="26"/>
      <c r="K663" s="32"/>
      <c r="L663" s="30"/>
    </row>
    <row r="664" spans="4:12" s="1" customFormat="1">
      <c r="D664" s="1" t="str">
        <f t="shared" si="28"/>
        <v/>
      </c>
      <c r="E664" s="26"/>
      <c r="K664" s="32"/>
      <c r="L664" s="30"/>
    </row>
    <row r="665" spans="4:12" s="1" customFormat="1">
      <c r="D665" s="1" t="str">
        <f t="shared" si="28"/>
        <v/>
      </c>
      <c r="E665" s="26"/>
      <c r="K665" s="32"/>
      <c r="L665" s="30"/>
    </row>
    <row r="666" spans="4:12" s="1" customFormat="1">
      <c r="D666" s="1" t="str">
        <f t="shared" si="28"/>
        <v/>
      </c>
      <c r="E666" s="26"/>
      <c r="K666" s="32"/>
      <c r="L666" s="30"/>
    </row>
    <row r="667" spans="4:12" s="1" customFormat="1">
      <c r="D667" s="1" t="str">
        <f t="shared" si="28"/>
        <v/>
      </c>
      <c r="E667" s="26"/>
      <c r="K667" s="32"/>
      <c r="L667" s="30"/>
    </row>
    <row r="668" spans="4:12" s="1" customFormat="1">
      <c r="D668" s="1" t="str">
        <f t="shared" si="28"/>
        <v/>
      </c>
      <c r="E668" s="26"/>
      <c r="K668" s="32"/>
      <c r="L668" s="30"/>
    </row>
    <row r="669" spans="4:12" s="1" customFormat="1">
      <c r="D669" s="1" t="str">
        <f t="shared" si="28"/>
        <v/>
      </c>
      <c r="E669" s="26"/>
      <c r="K669" s="32"/>
      <c r="L669" s="30"/>
    </row>
    <row r="670" spans="4:12" s="1" customFormat="1">
      <c r="D670" s="1" t="str">
        <f t="shared" si="28"/>
        <v/>
      </c>
      <c r="E670" s="26"/>
      <c r="K670" s="32"/>
      <c r="L670" s="30"/>
    </row>
    <row r="671" spans="4:12" s="1" customFormat="1">
      <c r="D671" s="1" t="str">
        <f t="shared" si="28"/>
        <v/>
      </c>
      <c r="E671" s="26"/>
      <c r="K671" s="32"/>
      <c r="L671" s="30"/>
    </row>
    <row r="672" spans="4:12" s="1" customFormat="1">
      <c r="D672" s="1" t="str">
        <f t="shared" si="28"/>
        <v/>
      </c>
      <c r="E672" s="26"/>
      <c r="K672" s="32"/>
      <c r="L672" s="30"/>
    </row>
    <row r="673" spans="4:12" s="1" customFormat="1">
      <c r="D673" s="1" t="str">
        <f t="shared" si="28"/>
        <v/>
      </c>
      <c r="E673" s="26"/>
      <c r="K673" s="32"/>
      <c r="L673" s="30"/>
    </row>
    <row r="674" spans="4:12" s="1" customFormat="1">
      <c r="D674" s="1" t="str">
        <f t="shared" si="28"/>
        <v/>
      </c>
      <c r="E674" s="26"/>
      <c r="K674" s="32"/>
      <c r="L674" s="30"/>
    </row>
    <row r="675" spans="4:12" s="1" customFormat="1">
      <c r="D675" s="1" t="str">
        <f t="shared" si="28"/>
        <v/>
      </c>
      <c r="E675" s="26"/>
      <c r="K675" s="32"/>
      <c r="L675" s="30"/>
    </row>
    <row r="676" spans="4:12" s="1" customFormat="1">
      <c r="D676" s="1" t="str">
        <f t="shared" si="28"/>
        <v/>
      </c>
      <c r="E676" s="26"/>
      <c r="K676" s="32"/>
      <c r="L676" s="30"/>
    </row>
    <row r="677" spans="4:12" s="1" customFormat="1">
      <c r="D677" s="1" t="str">
        <f t="shared" si="28"/>
        <v/>
      </c>
      <c r="E677" s="26"/>
      <c r="K677" s="32"/>
      <c r="L677" s="30"/>
    </row>
    <row r="678" spans="4:12" s="1" customFormat="1">
      <c r="D678" s="1" t="str">
        <f t="shared" si="28"/>
        <v/>
      </c>
      <c r="E678" s="26"/>
      <c r="K678" s="32"/>
      <c r="L678" s="30"/>
    </row>
    <row r="679" spans="4:12" s="1" customFormat="1">
      <c r="D679" s="1" t="str">
        <f t="shared" si="28"/>
        <v/>
      </c>
      <c r="E679" s="26"/>
      <c r="K679" s="32"/>
      <c r="L679" s="30"/>
    </row>
    <row r="680" spans="4:12" s="1" customFormat="1">
      <c r="D680" s="1" t="str">
        <f t="shared" si="28"/>
        <v/>
      </c>
      <c r="E680" s="26"/>
      <c r="K680" s="32"/>
      <c r="L680" s="30"/>
    </row>
    <row r="681" spans="4:12" s="1" customFormat="1">
      <c r="D681" s="1" t="str">
        <f t="shared" si="28"/>
        <v/>
      </c>
      <c r="E681" s="26"/>
      <c r="K681" s="32"/>
      <c r="L681" s="30"/>
    </row>
    <row r="682" spans="4:12" s="1" customFormat="1">
      <c r="D682" s="1" t="str">
        <f t="shared" si="28"/>
        <v/>
      </c>
      <c r="E682" s="26"/>
      <c r="K682" s="32"/>
      <c r="L682" s="30"/>
    </row>
    <row r="683" spans="4:12" s="1" customFormat="1">
      <c r="D683" s="1" t="str">
        <f t="shared" si="28"/>
        <v/>
      </c>
      <c r="E683" s="26"/>
      <c r="K683" s="32"/>
      <c r="L683" s="30"/>
    </row>
    <row r="684" spans="4:12" s="1" customFormat="1">
      <c r="D684" s="1" t="str">
        <f t="shared" si="28"/>
        <v/>
      </c>
      <c r="E684" s="26"/>
      <c r="K684" s="32"/>
      <c r="L684" s="30"/>
    </row>
    <row r="685" spans="4:12" s="1" customFormat="1">
      <c r="D685" s="1" t="str">
        <f t="shared" si="28"/>
        <v/>
      </c>
      <c r="E685" s="26"/>
      <c r="K685" s="32"/>
      <c r="L685" s="30"/>
    </row>
    <row r="686" spans="4:12" s="1" customFormat="1">
      <c r="D686" s="1" t="str">
        <f t="shared" si="28"/>
        <v/>
      </c>
      <c r="E686" s="26"/>
      <c r="K686" s="32"/>
      <c r="L686" s="30"/>
    </row>
    <row r="687" spans="4:12" s="1" customFormat="1">
      <c r="D687" s="1" t="str">
        <f t="shared" si="28"/>
        <v/>
      </c>
      <c r="E687" s="26"/>
      <c r="K687" s="32"/>
      <c r="L687" s="30"/>
    </row>
    <row r="688" spans="4:12" s="1" customFormat="1">
      <c r="D688" s="1" t="str">
        <f t="shared" si="28"/>
        <v/>
      </c>
      <c r="E688" s="26"/>
      <c r="K688" s="32"/>
      <c r="L688" s="30"/>
    </row>
    <row r="689" spans="4:12" s="1" customFormat="1">
      <c r="D689" s="1" t="str">
        <f t="shared" si="28"/>
        <v/>
      </c>
      <c r="E689" s="26"/>
      <c r="K689" s="32"/>
      <c r="L689" s="30"/>
    </row>
    <row r="690" spans="4:12" s="1" customFormat="1">
      <c r="D690" s="1" t="str">
        <f t="shared" si="28"/>
        <v/>
      </c>
      <c r="E690" s="26"/>
      <c r="K690" s="32"/>
      <c r="L690" s="30"/>
    </row>
    <row r="691" spans="4:12" s="1" customFormat="1">
      <c r="D691" s="1" t="str">
        <f t="shared" si="28"/>
        <v/>
      </c>
      <c r="E691" s="26"/>
      <c r="K691" s="32"/>
      <c r="L691" s="30"/>
    </row>
    <row r="692" spans="4:12" s="1" customFormat="1">
      <c r="D692" s="1" t="str">
        <f t="shared" si="28"/>
        <v/>
      </c>
      <c r="E692" s="26"/>
      <c r="K692" s="32"/>
      <c r="L692" s="30"/>
    </row>
    <row r="693" spans="4:12" s="1" customFormat="1">
      <c r="D693" s="1" t="str">
        <f t="shared" si="28"/>
        <v/>
      </c>
      <c r="E693" s="26"/>
      <c r="K693" s="32"/>
      <c r="L693" s="30"/>
    </row>
    <row r="694" spans="4:12" s="1" customFormat="1">
      <c r="D694" s="1" t="str">
        <f t="shared" si="28"/>
        <v/>
      </c>
      <c r="E694" s="26"/>
      <c r="K694" s="32"/>
      <c r="L694" s="30"/>
    </row>
    <row r="695" spans="4:12" s="1" customFormat="1">
      <c r="D695" s="1" t="str">
        <f t="shared" si="28"/>
        <v/>
      </c>
      <c r="E695" s="26"/>
      <c r="K695" s="32"/>
      <c r="L695" s="30"/>
    </row>
    <row r="696" spans="4:12" s="1" customFormat="1">
      <c r="D696" s="1" t="str">
        <f t="shared" si="28"/>
        <v/>
      </c>
      <c r="E696" s="26"/>
      <c r="K696" s="32"/>
      <c r="L696" s="30"/>
    </row>
    <row r="697" spans="4:12" s="1" customFormat="1">
      <c r="D697" s="1" t="str">
        <f t="shared" si="28"/>
        <v/>
      </c>
      <c r="E697" s="26"/>
      <c r="K697" s="32"/>
      <c r="L697" s="30"/>
    </row>
    <row r="698" spans="4:12" s="1" customFormat="1">
      <c r="D698" s="1" t="str">
        <f t="shared" si="28"/>
        <v/>
      </c>
      <c r="E698" s="26"/>
      <c r="K698" s="32"/>
      <c r="L698" s="30"/>
    </row>
    <row r="699" spans="4:12" s="1" customFormat="1">
      <c r="D699" s="1" t="str">
        <f t="shared" si="28"/>
        <v/>
      </c>
      <c r="E699" s="26"/>
      <c r="K699" s="32"/>
      <c r="L699" s="30"/>
    </row>
    <row r="700" spans="4:12" s="1" customFormat="1">
      <c r="D700" s="1" t="str">
        <f t="shared" si="28"/>
        <v/>
      </c>
      <c r="E700" s="26"/>
      <c r="K700" s="32"/>
      <c r="L700" s="30"/>
    </row>
    <row r="701" spans="4:12" s="1" customFormat="1">
      <c r="D701" s="1" t="str">
        <f t="shared" si="28"/>
        <v/>
      </c>
      <c r="E701" s="26"/>
      <c r="K701" s="32"/>
      <c r="L701" s="30"/>
    </row>
    <row r="702" spans="4:12" s="1" customFormat="1">
      <c r="D702" s="1" t="str">
        <f t="shared" si="28"/>
        <v/>
      </c>
      <c r="E702" s="26"/>
      <c r="K702" s="32"/>
      <c r="L702" s="30"/>
    </row>
    <row r="703" spans="4:12" s="1" customFormat="1">
      <c r="D703" s="1" t="str">
        <f t="shared" si="28"/>
        <v/>
      </c>
      <c r="E703" s="26"/>
      <c r="K703" s="32"/>
      <c r="L703" s="30"/>
    </row>
    <row r="704" spans="4:12" s="1" customFormat="1">
      <c r="D704" s="1" t="str">
        <f t="shared" si="28"/>
        <v/>
      </c>
      <c r="E704" s="26"/>
      <c r="K704" s="32"/>
      <c r="L704" s="30"/>
    </row>
    <row r="705" spans="4:12" s="1" customFormat="1">
      <c r="D705" s="1" t="str">
        <f t="shared" si="28"/>
        <v/>
      </c>
      <c r="E705" s="26"/>
      <c r="K705" s="32"/>
      <c r="L705" s="30"/>
    </row>
    <row r="706" spans="4:12" s="1" customFormat="1">
      <c r="D706" s="1" t="str">
        <f t="shared" si="28"/>
        <v/>
      </c>
      <c r="E706" s="26"/>
      <c r="K706" s="32"/>
      <c r="L706" s="30"/>
    </row>
    <row r="707" spans="4:12" s="1" customFormat="1">
      <c r="D707" s="1" t="str">
        <f t="shared" si="28"/>
        <v/>
      </c>
      <c r="E707" s="26"/>
      <c r="K707" s="32"/>
      <c r="L707" s="30"/>
    </row>
    <row r="708" spans="4:12" s="1" customFormat="1">
      <c r="D708" s="1" t="str">
        <f t="shared" si="28"/>
        <v/>
      </c>
      <c r="E708" s="26"/>
      <c r="K708" s="32"/>
      <c r="L708" s="30"/>
    </row>
    <row r="709" spans="4:12" s="1" customFormat="1">
      <c r="D709" s="1" t="str">
        <f t="shared" si="28"/>
        <v/>
      </c>
      <c r="E709" s="26"/>
      <c r="K709" s="32"/>
      <c r="L709" s="30"/>
    </row>
    <row r="710" spans="4:12" s="1" customFormat="1">
      <c r="D710" s="1" t="str">
        <f t="shared" si="28"/>
        <v/>
      </c>
      <c r="E710" s="26"/>
      <c r="K710" s="32"/>
      <c r="L710" s="30"/>
    </row>
    <row r="711" spans="4:12" s="1" customFormat="1">
      <c r="D711" s="1" t="str">
        <f t="shared" si="28"/>
        <v/>
      </c>
      <c r="E711" s="26"/>
      <c r="K711" s="32"/>
      <c r="L711" s="30"/>
    </row>
    <row r="712" spans="4:12" s="1" customFormat="1">
      <c r="D712" s="1" t="str">
        <f t="shared" ref="D712:D775" si="29">IF(F712&lt;&gt;"",RIGHT(F712, LEN(F712) - FIND(" - ", F712) - 2),"")</f>
        <v/>
      </c>
      <c r="E712" s="26"/>
      <c r="K712" s="32"/>
      <c r="L712" s="30"/>
    </row>
    <row r="713" spans="4:12" s="1" customFormat="1">
      <c r="D713" s="1" t="str">
        <f t="shared" si="29"/>
        <v/>
      </c>
      <c r="E713" s="26"/>
      <c r="K713" s="32"/>
      <c r="L713" s="30"/>
    </row>
    <row r="714" spans="4:12" s="1" customFormat="1">
      <c r="D714" s="1" t="str">
        <f t="shared" si="29"/>
        <v/>
      </c>
      <c r="E714" s="26"/>
      <c r="K714" s="32"/>
      <c r="L714" s="30"/>
    </row>
    <row r="715" spans="4:12" s="1" customFormat="1">
      <c r="D715" s="1" t="str">
        <f t="shared" si="29"/>
        <v/>
      </c>
      <c r="E715" s="26"/>
      <c r="K715" s="32"/>
      <c r="L715" s="30"/>
    </row>
    <row r="716" spans="4:12" s="1" customFormat="1">
      <c r="D716" s="1" t="str">
        <f t="shared" si="29"/>
        <v/>
      </c>
      <c r="E716" s="26"/>
      <c r="K716" s="32"/>
      <c r="L716" s="30"/>
    </row>
    <row r="717" spans="4:12" s="1" customFormat="1">
      <c r="D717" s="1" t="str">
        <f t="shared" si="29"/>
        <v/>
      </c>
      <c r="E717" s="26"/>
      <c r="K717" s="32"/>
      <c r="L717" s="30"/>
    </row>
    <row r="718" spans="4:12" s="1" customFormat="1">
      <c r="D718" s="1" t="str">
        <f t="shared" si="29"/>
        <v/>
      </c>
      <c r="E718" s="26"/>
      <c r="K718" s="32"/>
      <c r="L718" s="30"/>
    </row>
    <row r="719" spans="4:12" s="1" customFormat="1">
      <c r="D719" s="1" t="str">
        <f t="shared" si="29"/>
        <v/>
      </c>
      <c r="E719" s="26"/>
      <c r="K719" s="32"/>
      <c r="L719" s="30"/>
    </row>
    <row r="720" spans="4:12" s="1" customFormat="1">
      <c r="D720" s="1" t="str">
        <f t="shared" si="29"/>
        <v/>
      </c>
      <c r="E720" s="26"/>
      <c r="K720" s="32"/>
      <c r="L720" s="30"/>
    </row>
    <row r="721" spans="4:12" s="1" customFormat="1">
      <c r="D721" s="1" t="str">
        <f t="shared" si="29"/>
        <v/>
      </c>
      <c r="E721" s="26"/>
      <c r="K721" s="32"/>
      <c r="L721" s="30"/>
    </row>
    <row r="722" spans="4:12" s="1" customFormat="1">
      <c r="D722" s="1" t="str">
        <f t="shared" si="29"/>
        <v/>
      </c>
      <c r="E722" s="26"/>
      <c r="K722" s="32"/>
      <c r="L722" s="30"/>
    </row>
    <row r="723" spans="4:12" s="1" customFormat="1">
      <c r="D723" s="1" t="str">
        <f t="shared" si="29"/>
        <v/>
      </c>
      <c r="E723" s="26"/>
      <c r="K723" s="32"/>
      <c r="L723" s="30"/>
    </row>
    <row r="724" spans="4:12" s="1" customFormat="1">
      <c r="D724" s="1" t="str">
        <f t="shared" si="29"/>
        <v/>
      </c>
      <c r="E724" s="26"/>
      <c r="K724" s="32"/>
      <c r="L724" s="30"/>
    </row>
    <row r="725" spans="4:12" s="1" customFormat="1">
      <c r="D725" s="1" t="str">
        <f t="shared" si="29"/>
        <v/>
      </c>
      <c r="E725" s="26"/>
      <c r="K725" s="32"/>
      <c r="L725" s="30"/>
    </row>
    <row r="726" spans="4:12" s="1" customFormat="1">
      <c r="D726" s="1" t="str">
        <f t="shared" si="29"/>
        <v/>
      </c>
      <c r="E726" s="26"/>
      <c r="K726" s="32"/>
      <c r="L726" s="30"/>
    </row>
    <row r="727" spans="4:12" s="1" customFormat="1">
      <c r="D727" s="1" t="str">
        <f t="shared" si="29"/>
        <v/>
      </c>
      <c r="E727" s="26"/>
      <c r="K727" s="32"/>
      <c r="L727" s="30"/>
    </row>
    <row r="728" spans="4:12" s="1" customFormat="1">
      <c r="D728" s="1" t="str">
        <f t="shared" si="29"/>
        <v/>
      </c>
      <c r="E728" s="26"/>
      <c r="K728" s="32"/>
      <c r="L728" s="30"/>
    </row>
    <row r="729" spans="4:12" s="1" customFormat="1">
      <c r="D729" s="1" t="str">
        <f t="shared" si="29"/>
        <v/>
      </c>
      <c r="E729" s="26"/>
      <c r="K729" s="32"/>
      <c r="L729" s="30"/>
    </row>
    <row r="730" spans="4:12" s="1" customFormat="1">
      <c r="D730" s="1" t="str">
        <f t="shared" si="29"/>
        <v/>
      </c>
      <c r="E730" s="26"/>
      <c r="K730" s="32"/>
      <c r="L730" s="30"/>
    </row>
    <row r="731" spans="4:12" s="1" customFormat="1">
      <c r="D731" s="1" t="str">
        <f t="shared" si="29"/>
        <v/>
      </c>
      <c r="E731" s="26"/>
      <c r="K731" s="32"/>
      <c r="L731" s="30"/>
    </row>
    <row r="732" spans="4:12" s="1" customFormat="1">
      <c r="D732" s="1" t="str">
        <f t="shared" si="29"/>
        <v/>
      </c>
      <c r="E732" s="26"/>
      <c r="K732" s="32"/>
      <c r="L732" s="30"/>
    </row>
    <row r="733" spans="4:12" s="1" customFormat="1">
      <c r="D733" s="1" t="str">
        <f t="shared" si="29"/>
        <v/>
      </c>
      <c r="E733" s="26"/>
      <c r="K733" s="32"/>
      <c r="L733" s="30"/>
    </row>
    <row r="734" spans="4:12" s="1" customFormat="1">
      <c r="D734" s="1" t="str">
        <f t="shared" si="29"/>
        <v/>
      </c>
      <c r="E734" s="26"/>
      <c r="K734" s="32"/>
      <c r="L734" s="30"/>
    </row>
    <row r="735" spans="4:12" s="1" customFormat="1">
      <c r="D735" s="1" t="str">
        <f t="shared" si="29"/>
        <v/>
      </c>
      <c r="E735" s="26"/>
      <c r="K735" s="32"/>
      <c r="L735" s="30"/>
    </row>
    <row r="736" spans="4:12" s="1" customFormat="1">
      <c r="D736" s="1" t="str">
        <f t="shared" si="29"/>
        <v/>
      </c>
      <c r="E736" s="26"/>
      <c r="K736" s="32"/>
      <c r="L736" s="30"/>
    </row>
    <row r="737" spans="4:12" s="1" customFormat="1">
      <c r="D737" s="1" t="str">
        <f t="shared" si="29"/>
        <v/>
      </c>
      <c r="E737" s="26"/>
      <c r="K737" s="32"/>
      <c r="L737" s="30"/>
    </row>
    <row r="738" spans="4:12" s="1" customFormat="1">
      <c r="D738" s="1" t="str">
        <f t="shared" si="29"/>
        <v/>
      </c>
      <c r="E738" s="26"/>
      <c r="K738" s="32"/>
      <c r="L738" s="30"/>
    </row>
    <row r="739" spans="4:12" s="1" customFormat="1">
      <c r="D739" s="1" t="str">
        <f t="shared" si="29"/>
        <v/>
      </c>
      <c r="E739" s="26"/>
      <c r="K739" s="32"/>
      <c r="L739" s="30"/>
    </row>
    <row r="740" spans="4:12" s="1" customFormat="1">
      <c r="D740" s="1" t="str">
        <f t="shared" si="29"/>
        <v/>
      </c>
      <c r="E740" s="26"/>
      <c r="K740" s="32"/>
      <c r="L740" s="30"/>
    </row>
    <row r="741" spans="4:12" s="1" customFormat="1">
      <c r="D741" s="1" t="str">
        <f t="shared" si="29"/>
        <v/>
      </c>
      <c r="E741" s="26"/>
      <c r="K741" s="32"/>
      <c r="L741" s="30"/>
    </row>
    <row r="742" spans="4:12" s="1" customFormat="1">
      <c r="D742" s="1" t="str">
        <f t="shared" si="29"/>
        <v/>
      </c>
      <c r="E742" s="26"/>
      <c r="K742" s="32"/>
      <c r="L742" s="30"/>
    </row>
    <row r="743" spans="4:12" s="1" customFormat="1">
      <c r="D743" s="1" t="str">
        <f t="shared" si="29"/>
        <v/>
      </c>
      <c r="E743" s="26"/>
      <c r="K743" s="32"/>
      <c r="L743" s="30"/>
    </row>
    <row r="744" spans="4:12" s="1" customFormat="1">
      <c r="D744" s="1" t="str">
        <f t="shared" si="29"/>
        <v/>
      </c>
      <c r="E744" s="26"/>
      <c r="K744" s="32"/>
      <c r="L744" s="30"/>
    </row>
    <row r="745" spans="4:12" s="1" customFormat="1">
      <c r="D745" s="1" t="str">
        <f t="shared" si="29"/>
        <v/>
      </c>
      <c r="E745" s="26"/>
      <c r="K745" s="32"/>
      <c r="L745" s="30"/>
    </row>
    <row r="746" spans="4:12" s="1" customFormat="1">
      <c r="D746" s="1" t="str">
        <f t="shared" si="29"/>
        <v/>
      </c>
      <c r="E746" s="26"/>
      <c r="K746" s="32"/>
      <c r="L746" s="30"/>
    </row>
    <row r="747" spans="4:12" s="1" customFormat="1">
      <c r="D747" s="1" t="str">
        <f t="shared" si="29"/>
        <v/>
      </c>
      <c r="E747" s="26"/>
      <c r="K747" s="32"/>
      <c r="L747" s="30"/>
    </row>
    <row r="748" spans="4:12" s="1" customFormat="1">
      <c r="D748" s="1" t="str">
        <f t="shared" si="29"/>
        <v/>
      </c>
      <c r="E748" s="26"/>
      <c r="K748" s="32"/>
      <c r="L748" s="30"/>
    </row>
    <row r="749" spans="4:12" s="1" customFormat="1">
      <c r="D749" s="1" t="str">
        <f t="shared" si="29"/>
        <v/>
      </c>
      <c r="E749" s="26"/>
      <c r="K749" s="32"/>
      <c r="L749" s="30"/>
    </row>
    <row r="750" spans="4:12" s="1" customFormat="1">
      <c r="D750" s="1" t="str">
        <f t="shared" si="29"/>
        <v/>
      </c>
      <c r="E750" s="26"/>
      <c r="K750" s="32"/>
      <c r="L750" s="30"/>
    </row>
    <row r="751" spans="4:12" s="1" customFormat="1">
      <c r="D751" s="1" t="str">
        <f t="shared" si="29"/>
        <v/>
      </c>
      <c r="E751" s="26"/>
      <c r="K751" s="32"/>
      <c r="L751" s="30"/>
    </row>
    <row r="752" spans="4:12" s="1" customFormat="1">
      <c r="D752" s="1" t="str">
        <f t="shared" si="29"/>
        <v/>
      </c>
      <c r="E752" s="26"/>
      <c r="K752" s="32"/>
      <c r="L752" s="30"/>
    </row>
    <row r="753" spans="4:12" s="1" customFormat="1">
      <c r="D753" s="1" t="str">
        <f t="shared" si="29"/>
        <v/>
      </c>
      <c r="E753" s="26"/>
      <c r="K753" s="32"/>
      <c r="L753" s="30"/>
    </row>
    <row r="754" spans="4:12" s="1" customFormat="1">
      <c r="D754" s="1" t="str">
        <f t="shared" si="29"/>
        <v/>
      </c>
      <c r="E754" s="26"/>
      <c r="K754" s="32"/>
      <c r="L754" s="30"/>
    </row>
    <row r="755" spans="4:12" s="1" customFormat="1">
      <c r="D755" s="1" t="str">
        <f t="shared" si="29"/>
        <v/>
      </c>
      <c r="E755" s="26"/>
      <c r="K755" s="32"/>
      <c r="L755" s="30"/>
    </row>
    <row r="756" spans="4:12" s="1" customFormat="1">
      <c r="D756" s="1" t="str">
        <f t="shared" si="29"/>
        <v/>
      </c>
      <c r="E756" s="26"/>
      <c r="K756" s="32"/>
      <c r="L756" s="30"/>
    </row>
    <row r="757" spans="4:12" s="1" customFormat="1">
      <c r="D757" s="1" t="str">
        <f t="shared" si="29"/>
        <v/>
      </c>
      <c r="E757" s="26"/>
      <c r="K757" s="32"/>
      <c r="L757" s="30"/>
    </row>
    <row r="758" spans="4:12" s="1" customFormat="1">
      <c r="D758" s="1" t="str">
        <f t="shared" si="29"/>
        <v/>
      </c>
      <c r="E758" s="26"/>
      <c r="K758" s="32"/>
      <c r="L758" s="30"/>
    </row>
    <row r="759" spans="4:12" s="1" customFormat="1">
      <c r="D759" s="1" t="str">
        <f t="shared" si="29"/>
        <v/>
      </c>
      <c r="E759" s="26"/>
      <c r="K759" s="32"/>
      <c r="L759" s="30"/>
    </row>
    <row r="760" spans="4:12" s="1" customFormat="1">
      <c r="D760" s="1" t="str">
        <f t="shared" si="29"/>
        <v/>
      </c>
      <c r="E760" s="26"/>
      <c r="K760" s="32"/>
      <c r="L760" s="30"/>
    </row>
    <row r="761" spans="4:12" s="1" customFormat="1">
      <c r="D761" s="1" t="str">
        <f t="shared" si="29"/>
        <v/>
      </c>
      <c r="E761" s="26"/>
      <c r="K761" s="32"/>
      <c r="L761" s="30"/>
    </row>
    <row r="762" spans="4:12" s="1" customFormat="1">
      <c r="D762" s="1" t="str">
        <f t="shared" si="29"/>
        <v/>
      </c>
      <c r="E762" s="26"/>
      <c r="K762" s="32"/>
      <c r="L762" s="30"/>
    </row>
    <row r="763" spans="4:12" s="1" customFormat="1">
      <c r="D763" s="1" t="str">
        <f t="shared" si="29"/>
        <v/>
      </c>
      <c r="E763" s="26"/>
      <c r="K763" s="32"/>
      <c r="L763" s="30"/>
    </row>
    <row r="764" spans="4:12" s="1" customFormat="1">
      <c r="D764" s="1" t="str">
        <f t="shared" si="29"/>
        <v/>
      </c>
      <c r="E764" s="26"/>
      <c r="K764" s="32"/>
      <c r="L764" s="30"/>
    </row>
    <row r="765" spans="4:12" s="1" customFormat="1">
      <c r="D765" s="1" t="str">
        <f t="shared" si="29"/>
        <v/>
      </c>
      <c r="E765" s="26"/>
      <c r="K765" s="32"/>
      <c r="L765" s="30"/>
    </row>
    <row r="766" spans="4:12" s="1" customFormat="1">
      <c r="D766" s="1" t="str">
        <f t="shared" si="29"/>
        <v/>
      </c>
      <c r="E766" s="26"/>
      <c r="K766" s="32"/>
      <c r="L766" s="30"/>
    </row>
    <row r="767" spans="4:12" s="1" customFormat="1">
      <c r="D767" s="1" t="str">
        <f t="shared" si="29"/>
        <v/>
      </c>
      <c r="E767" s="26"/>
      <c r="K767" s="32"/>
      <c r="L767" s="30"/>
    </row>
    <row r="768" spans="4:12" s="1" customFormat="1">
      <c r="D768" s="1" t="str">
        <f t="shared" si="29"/>
        <v/>
      </c>
      <c r="E768" s="26"/>
      <c r="K768" s="32"/>
      <c r="L768" s="30"/>
    </row>
    <row r="769" spans="4:12" s="1" customFormat="1">
      <c r="D769" s="1" t="str">
        <f t="shared" si="29"/>
        <v/>
      </c>
      <c r="E769" s="26"/>
      <c r="K769" s="32"/>
      <c r="L769" s="30"/>
    </row>
    <row r="770" spans="4:12" s="1" customFormat="1">
      <c r="D770" s="1" t="str">
        <f t="shared" si="29"/>
        <v/>
      </c>
      <c r="E770" s="26"/>
      <c r="K770" s="32"/>
      <c r="L770" s="30"/>
    </row>
    <row r="771" spans="4:12" s="1" customFormat="1">
      <c r="D771" s="1" t="str">
        <f t="shared" si="29"/>
        <v/>
      </c>
      <c r="E771" s="26"/>
      <c r="K771" s="32"/>
      <c r="L771" s="30"/>
    </row>
    <row r="772" spans="4:12" s="1" customFormat="1">
      <c r="D772" s="1" t="str">
        <f t="shared" si="29"/>
        <v/>
      </c>
      <c r="E772" s="26"/>
      <c r="K772" s="32"/>
      <c r="L772" s="30"/>
    </row>
    <row r="773" spans="4:12" s="1" customFormat="1">
      <c r="D773" s="1" t="str">
        <f t="shared" si="29"/>
        <v/>
      </c>
      <c r="E773" s="26"/>
      <c r="K773" s="32"/>
      <c r="L773" s="30"/>
    </row>
    <row r="774" spans="4:12" s="1" customFormat="1">
      <c r="D774" s="1" t="str">
        <f t="shared" si="29"/>
        <v/>
      </c>
      <c r="E774" s="26"/>
      <c r="K774" s="32"/>
      <c r="L774" s="30"/>
    </row>
    <row r="775" spans="4:12" s="1" customFormat="1">
      <c r="D775" s="1" t="str">
        <f t="shared" si="29"/>
        <v/>
      </c>
      <c r="E775" s="26"/>
      <c r="K775" s="32"/>
      <c r="L775" s="30"/>
    </row>
    <row r="776" spans="4:12" s="1" customFormat="1">
      <c r="D776" s="1" t="str">
        <f t="shared" ref="D776:D839" si="30">IF(F776&lt;&gt;"",RIGHT(F776, LEN(F776) - FIND(" - ", F776) - 2),"")</f>
        <v/>
      </c>
      <c r="E776" s="26"/>
      <c r="K776" s="32"/>
      <c r="L776" s="30"/>
    </row>
    <row r="777" spans="4:12" s="1" customFormat="1">
      <c r="D777" s="1" t="str">
        <f t="shared" si="30"/>
        <v/>
      </c>
      <c r="E777" s="26"/>
      <c r="K777" s="32"/>
      <c r="L777" s="30"/>
    </row>
    <row r="778" spans="4:12" s="1" customFormat="1">
      <c r="D778" s="1" t="str">
        <f t="shared" si="30"/>
        <v/>
      </c>
      <c r="E778" s="26"/>
      <c r="K778" s="32"/>
      <c r="L778" s="30"/>
    </row>
    <row r="779" spans="4:12" s="1" customFormat="1">
      <c r="D779" s="1" t="str">
        <f t="shared" si="30"/>
        <v/>
      </c>
      <c r="E779" s="26"/>
      <c r="K779" s="32"/>
      <c r="L779" s="30"/>
    </row>
    <row r="780" spans="4:12" s="1" customFormat="1">
      <c r="D780" s="1" t="str">
        <f t="shared" si="30"/>
        <v/>
      </c>
      <c r="E780" s="26"/>
      <c r="K780" s="32"/>
      <c r="L780" s="30"/>
    </row>
    <row r="781" spans="4:12" s="1" customFormat="1">
      <c r="D781" s="1" t="str">
        <f t="shared" si="30"/>
        <v/>
      </c>
      <c r="E781" s="26"/>
      <c r="K781" s="32"/>
      <c r="L781" s="30"/>
    </row>
    <row r="782" spans="4:12" s="1" customFormat="1">
      <c r="D782" s="1" t="str">
        <f t="shared" si="30"/>
        <v/>
      </c>
      <c r="E782" s="26"/>
      <c r="K782" s="32"/>
      <c r="L782" s="30"/>
    </row>
    <row r="783" spans="4:12" s="1" customFormat="1">
      <c r="D783" s="1" t="str">
        <f t="shared" si="30"/>
        <v/>
      </c>
      <c r="E783" s="26"/>
      <c r="K783" s="32"/>
      <c r="L783" s="30"/>
    </row>
    <row r="784" spans="4:12" s="1" customFormat="1">
      <c r="D784" s="1" t="str">
        <f t="shared" si="30"/>
        <v/>
      </c>
      <c r="E784" s="26"/>
      <c r="K784" s="32"/>
      <c r="L784" s="30"/>
    </row>
    <row r="785" spans="4:12" s="1" customFormat="1">
      <c r="D785" s="1" t="str">
        <f t="shared" si="30"/>
        <v/>
      </c>
      <c r="E785" s="26"/>
      <c r="K785" s="32"/>
      <c r="L785" s="30"/>
    </row>
    <row r="786" spans="4:12" s="1" customFormat="1">
      <c r="D786" s="1" t="str">
        <f t="shared" si="30"/>
        <v/>
      </c>
      <c r="E786" s="26"/>
      <c r="K786" s="32"/>
      <c r="L786" s="30"/>
    </row>
    <row r="787" spans="4:12" s="1" customFormat="1">
      <c r="D787" s="1" t="str">
        <f t="shared" si="30"/>
        <v/>
      </c>
      <c r="E787" s="26"/>
      <c r="K787" s="32"/>
      <c r="L787" s="30"/>
    </row>
    <row r="788" spans="4:12" s="1" customFormat="1">
      <c r="D788" s="1" t="str">
        <f t="shared" si="30"/>
        <v/>
      </c>
      <c r="E788" s="26"/>
      <c r="K788" s="32"/>
      <c r="L788" s="30"/>
    </row>
    <row r="789" spans="4:12" s="1" customFormat="1">
      <c r="D789" s="1" t="str">
        <f t="shared" si="30"/>
        <v/>
      </c>
      <c r="E789" s="26"/>
      <c r="K789" s="32"/>
      <c r="L789" s="30"/>
    </row>
    <row r="790" spans="4:12" s="1" customFormat="1">
      <c r="D790" s="1" t="str">
        <f t="shared" si="30"/>
        <v/>
      </c>
      <c r="E790" s="26"/>
      <c r="K790" s="32"/>
      <c r="L790" s="30"/>
    </row>
    <row r="791" spans="4:12" s="1" customFormat="1">
      <c r="D791" s="1" t="str">
        <f t="shared" si="30"/>
        <v/>
      </c>
      <c r="E791" s="26"/>
      <c r="K791" s="32"/>
      <c r="L791" s="30"/>
    </row>
    <row r="792" spans="4:12" s="1" customFormat="1">
      <c r="D792" s="1" t="str">
        <f t="shared" si="30"/>
        <v/>
      </c>
      <c r="E792" s="26"/>
      <c r="K792" s="32"/>
      <c r="L792" s="30"/>
    </row>
    <row r="793" spans="4:12" s="1" customFormat="1">
      <c r="D793" s="1" t="str">
        <f t="shared" si="30"/>
        <v/>
      </c>
      <c r="E793" s="26"/>
      <c r="K793" s="32"/>
      <c r="L793" s="30"/>
    </row>
    <row r="794" spans="4:12" s="1" customFormat="1">
      <c r="D794" s="1" t="str">
        <f t="shared" si="30"/>
        <v/>
      </c>
      <c r="E794" s="26"/>
      <c r="K794" s="32"/>
      <c r="L794" s="30"/>
    </row>
    <row r="795" spans="4:12" s="1" customFormat="1">
      <c r="D795" s="1" t="str">
        <f t="shared" si="30"/>
        <v/>
      </c>
      <c r="E795" s="26"/>
      <c r="K795" s="32"/>
      <c r="L795" s="30"/>
    </row>
    <row r="796" spans="4:12" s="1" customFormat="1">
      <c r="D796" s="1" t="str">
        <f t="shared" si="30"/>
        <v/>
      </c>
      <c r="E796" s="26"/>
      <c r="K796" s="32"/>
      <c r="L796" s="30"/>
    </row>
    <row r="797" spans="4:12" s="1" customFormat="1">
      <c r="D797" s="1" t="str">
        <f t="shared" si="30"/>
        <v/>
      </c>
      <c r="E797" s="26"/>
      <c r="K797" s="32"/>
      <c r="L797" s="30"/>
    </row>
    <row r="798" spans="4:12" s="1" customFormat="1">
      <c r="D798" s="1" t="str">
        <f t="shared" si="30"/>
        <v/>
      </c>
      <c r="E798" s="26"/>
      <c r="K798" s="32"/>
      <c r="L798" s="30"/>
    </row>
    <row r="799" spans="4:12" s="1" customFormat="1">
      <c r="D799" s="1" t="str">
        <f t="shared" si="30"/>
        <v/>
      </c>
      <c r="E799" s="26"/>
      <c r="K799" s="32"/>
      <c r="L799" s="30"/>
    </row>
    <row r="800" spans="4:12" s="1" customFormat="1">
      <c r="D800" s="1" t="str">
        <f t="shared" si="30"/>
        <v/>
      </c>
      <c r="E800" s="26"/>
      <c r="K800" s="32"/>
      <c r="L800" s="30"/>
    </row>
    <row r="801" spans="4:12" s="1" customFormat="1">
      <c r="D801" s="1" t="str">
        <f t="shared" si="30"/>
        <v/>
      </c>
      <c r="E801" s="26"/>
      <c r="K801" s="32"/>
      <c r="L801" s="30"/>
    </row>
    <row r="802" spans="4:12" s="1" customFormat="1">
      <c r="D802" s="1" t="str">
        <f t="shared" si="30"/>
        <v/>
      </c>
      <c r="E802" s="26"/>
      <c r="K802" s="32"/>
      <c r="L802" s="30"/>
    </row>
    <row r="803" spans="4:12" s="1" customFormat="1">
      <c r="D803" s="1" t="str">
        <f t="shared" si="30"/>
        <v/>
      </c>
      <c r="E803" s="26"/>
      <c r="K803" s="32"/>
      <c r="L803" s="30"/>
    </row>
    <row r="804" spans="4:12" s="1" customFormat="1">
      <c r="D804" s="1" t="str">
        <f t="shared" si="30"/>
        <v/>
      </c>
      <c r="E804" s="26"/>
      <c r="K804" s="32"/>
      <c r="L804" s="30"/>
    </row>
    <row r="805" spans="4:12" s="1" customFormat="1">
      <c r="D805" s="1" t="str">
        <f t="shared" si="30"/>
        <v/>
      </c>
      <c r="E805" s="26"/>
      <c r="K805" s="32"/>
      <c r="L805" s="30"/>
    </row>
    <row r="806" spans="4:12" s="1" customFormat="1">
      <c r="D806" s="1" t="str">
        <f t="shared" si="30"/>
        <v/>
      </c>
      <c r="E806" s="26"/>
      <c r="K806" s="32"/>
      <c r="L806" s="30"/>
    </row>
    <row r="807" spans="4:12" s="1" customFormat="1">
      <c r="D807" s="1" t="str">
        <f t="shared" si="30"/>
        <v/>
      </c>
      <c r="E807" s="26"/>
      <c r="K807" s="32"/>
      <c r="L807" s="30"/>
    </row>
    <row r="808" spans="4:12" s="1" customFormat="1">
      <c r="D808" s="1" t="str">
        <f t="shared" si="30"/>
        <v/>
      </c>
      <c r="E808" s="26"/>
      <c r="K808" s="32"/>
      <c r="L808" s="30"/>
    </row>
    <row r="809" spans="4:12" s="1" customFormat="1">
      <c r="D809" s="1" t="str">
        <f t="shared" si="30"/>
        <v/>
      </c>
      <c r="E809" s="26"/>
      <c r="K809" s="32"/>
      <c r="L809" s="30"/>
    </row>
    <row r="810" spans="4:12" s="1" customFormat="1">
      <c r="D810" s="1" t="str">
        <f t="shared" si="30"/>
        <v/>
      </c>
      <c r="E810" s="26"/>
      <c r="K810" s="32"/>
      <c r="L810" s="30"/>
    </row>
    <row r="811" spans="4:12" s="1" customFormat="1">
      <c r="D811" s="1" t="str">
        <f t="shared" si="30"/>
        <v/>
      </c>
      <c r="E811" s="26"/>
      <c r="K811" s="32"/>
      <c r="L811" s="30"/>
    </row>
    <row r="812" spans="4:12" s="1" customFormat="1">
      <c r="D812" s="1" t="str">
        <f t="shared" si="30"/>
        <v/>
      </c>
      <c r="E812" s="26"/>
      <c r="K812" s="32"/>
      <c r="L812" s="30"/>
    </row>
    <row r="813" spans="4:12" s="1" customFormat="1">
      <c r="D813" s="1" t="str">
        <f t="shared" si="30"/>
        <v/>
      </c>
      <c r="E813" s="26"/>
      <c r="K813" s="32"/>
      <c r="L813" s="30"/>
    </row>
    <row r="814" spans="4:12" s="1" customFormat="1">
      <c r="D814" s="1" t="str">
        <f t="shared" si="30"/>
        <v/>
      </c>
      <c r="E814" s="26"/>
      <c r="K814" s="32"/>
      <c r="L814" s="30"/>
    </row>
    <row r="815" spans="4:12" s="1" customFormat="1">
      <c r="D815" s="1" t="str">
        <f t="shared" si="30"/>
        <v/>
      </c>
      <c r="E815" s="26"/>
      <c r="K815" s="32"/>
      <c r="L815" s="30"/>
    </row>
    <row r="816" spans="4:12" s="1" customFormat="1">
      <c r="D816" s="1" t="str">
        <f t="shared" si="30"/>
        <v/>
      </c>
      <c r="E816" s="26"/>
      <c r="K816" s="32"/>
      <c r="L816" s="30"/>
    </row>
    <row r="817" spans="4:12" s="1" customFormat="1">
      <c r="D817" s="1" t="str">
        <f t="shared" si="30"/>
        <v/>
      </c>
      <c r="E817" s="26"/>
      <c r="K817" s="32"/>
      <c r="L817" s="30"/>
    </row>
    <row r="818" spans="4:12" s="1" customFormat="1">
      <c r="D818" s="1" t="str">
        <f t="shared" si="30"/>
        <v/>
      </c>
      <c r="E818" s="26"/>
      <c r="K818" s="32"/>
      <c r="L818" s="30"/>
    </row>
    <row r="819" spans="4:12" s="1" customFormat="1">
      <c r="D819" s="1" t="str">
        <f t="shared" si="30"/>
        <v/>
      </c>
      <c r="E819" s="26"/>
      <c r="K819" s="32"/>
      <c r="L819" s="30"/>
    </row>
    <row r="820" spans="4:12" s="1" customFormat="1">
      <c r="D820" s="1" t="str">
        <f t="shared" si="30"/>
        <v/>
      </c>
      <c r="E820" s="26"/>
      <c r="K820" s="32"/>
      <c r="L820" s="30"/>
    </row>
    <row r="821" spans="4:12" s="1" customFormat="1">
      <c r="D821" s="1" t="str">
        <f t="shared" si="30"/>
        <v/>
      </c>
      <c r="E821" s="26"/>
      <c r="K821" s="32"/>
      <c r="L821" s="30"/>
    </row>
    <row r="822" spans="4:12" s="1" customFormat="1">
      <c r="D822" s="1" t="str">
        <f t="shared" si="30"/>
        <v/>
      </c>
      <c r="E822" s="26"/>
      <c r="K822" s="32"/>
      <c r="L822" s="30"/>
    </row>
    <row r="823" spans="4:12" s="1" customFormat="1">
      <c r="D823" s="1" t="str">
        <f t="shared" si="30"/>
        <v/>
      </c>
      <c r="E823" s="26"/>
      <c r="K823" s="32"/>
      <c r="L823" s="30"/>
    </row>
    <row r="824" spans="4:12" s="1" customFormat="1">
      <c r="D824" s="1" t="str">
        <f t="shared" si="30"/>
        <v/>
      </c>
      <c r="E824" s="26"/>
      <c r="K824" s="32"/>
      <c r="L824" s="30"/>
    </row>
    <row r="825" spans="4:12" s="1" customFormat="1">
      <c r="D825" s="1" t="str">
        <f t="shared" si="30"/>
        <v/>
      </c>
      <c r="E825" s="26"/>
      <c r="K825" s="32"/>
      <c r="L825" s="30"/>
    </row>
    <row r="826" spans="4:12" s="1" customFormat="1">
      <c r="D826" s="1" t="str">
        <f t="shared" si="30"/>
        <v/>
      </c>
      <c r="E826" s="26"/>
      <c r="K826" s="32"/>
      <c r="L826" s="30"/>
    </row>
    <row r="827" spans="4:12" s="1" customFormat="1">
      <c r="D827" s="1" t="str">
        <f t="shared" si="30"/>
        <v/>
      </c>
      <c r="E827" s="26"/>
      <c r="K827" s="32"/>
      <c r="L827" s="30"/>
    </row>
    <row r="828" spans="4:12" s="1" customFormat="1">
      <c r="D828" s="1" t="str">
        <f t="shared" si="30"/>
        <v/>
      </c>
      <c r="E828" s="26"/>
      <c r="K828" s="32"/>
      <c r="L828" s="30"/>
    </row>
    <row r="829" spans="4:12" s="1" customFormat="1">
      <c r="D829" s="1" t="str">
        <f t="shared" si="30"/>
        <v/>
      </c>
      <c r="E829" s="26"/>
      <c r="K829" s="32"/>
      <c r="L829" s="30"/>
    </row>
    <row r="830" spans="4:12" s="1" customFormat="1">
      <c r="D830" s="1" t="str">
        <f t="shared" si="30"/>
        <v/>
      </c>
      <c r="E830" s="26"/>
      <c r="K830" s="32"/>
      <c r="L830" s="30"/>
    </row>
    <row r="831" spans="4:12" s="1" customFormat="1">
      <c r="D831" s="1" t="str">
        <f t="shared" si="30"/>
        <v/>
      </c>
      <c r="E831" s="26"/>
      <c r="K831" s="32"/>
      <c r="L831" s="30"/>
    </row>
    <row r="832" spans="4:12" s="1" customFormat="1">
      <c r="D832" s="1" t="str">
        <f t="shared" si="30"/>
        <v/>
      </c>
      <c r="E832" s="26"/>
      <c r="K832" s="32"/>
      <c r="L832" s="30"/>
    </row>
    <row r="833" spans="4:12" s="1" customFormat="1">
      <c r="D833" s="1" t="str">
        <f t="shared" si="30"/>
        <v/>
      </c>
      <c r="E833" s="26"/>
      <c r="K833" s="32"/>
      <c r="L833" s="30"/>
    </row>
    <row r="834" spans="4:12" s="1" customFormat="1">
      <c r="D834" s="1" t="str">
        <f t="shared" si="30"/>
        <v/>
      </c>
      <c r="E834" s="26"/>
      <c r="K834" s="32"/>
      <c r="L834" s="30"/>
    </row>
    <row r="835" spans="4:12" s="1" customFormat="1">
      <c r="D835" s="1" t="str">
        <f t="shared" si="30"/>
        <v/>
      </c>
      <c r="E835" s="26"/>
      <c r="K835" s="32"/>
      <c r="L835" s="30"/>
    </row>
    <row r="836" spans="4:12" s="1" customFormat="1">
      <c r="D836" s="1" t="str">
        <f t="shared" si="30"/>
        <v/>
      </c>
      <c r="E836" s="26"/>
      <c r="K836" s="32"/>
      <c r="L836" s="30"/>
    </row>
    <row r="837" spans="4:12" s="1" customFormat="1">
      <c r="D837" s="1" t="str">
        <f t="shared" si="30"/>
        <v/>
      </c>
      <c r="E837" s="26"/>
      <c r="K837" s="32"/>
      <c r="L837" s="30"/>
    </row>
    <row r="838" spans="4:12" s="1" customFormat="1">
      <c r="D838" s="1" t="str">
        <f t="shared" si="30"/>
        <v/>
      </c>
      <c r="E838" s="26"/>
      <c r="K838" s="32"/>
      <c r="L838" s="30"/>
    </row>
    <row r="839" spans="4:12" s="1" customFormat="1">
      <c r="D839" s="1" t="str">
        <f t="shared" si="30"/>
        <v/>
      </c>
      <c r="E839" s="26"/>
      <c r="K839" s="32"/>
      <c r="L839" s="30"/>
    </row>
    <row r="840" spans="4:12" s="1" customFormat="1">
      <c r="D840" s="1" t="str">
        <f t="shared" ref="D840:D903" si="31">IF(F840&lt;&gt;"",RIGHT(F840, LEN(F840) - FIND(" - ", F840) - 2),"")</f>
        <v/>
      </c>
      <c r="E840" s="26"/>
      <c r="K840" s="32"/>
      <c r="L840" s="30"/>
    </row>
    <row r="841" spans="4:12" s="1" customFormat="1">
      <c r="D841" s="1" t="str">
        <f t="shared" si="31"/>
        <v/>
      </c>
      <c r="E841" s="26"/>
      <c r="K841" s="32"/>
      <c r="L841" s="30"/>
    </row>
    <row r="842" spans="4:12" s="1" customFormat="1">
      <c r="D842" s="1" t="str">
        <f t="shared" si="31"/>
        <v/>
      </c>
      <c r="E842" s="26"/>
      <c r="K842" s="32"/>
      <c r="L842" s="30"/>
    </row>
    <row r="843" spans="4:12" s="1" customFormat="1">
      <c r="D843" s="1" t="str">
        <f t="shared" si="31"/>
        <v/>
      </c>
      <c r="E843" s="26"/>
      <c r="K843" s="32"/>
      <c r="L843" s="30"/>
    </row>
    <row r="844" spans="4:12" s="1" customFormat="1">
      <c r="D844" s="1" t="str">
        <f t="shared" si="31"/>
        <v/>
      </c>
      <c r="E844" s="26"/>
      <c r="K844" s="32"/>
      <c r="L844" s="30"/>
    </row>
    <row r="845" spans="4:12" s="1" customFormat="1">
      <c r="D845" s="1" t="str">
        <f t="shared" si="31"/>
        <v/>
      </c>
      <c r="E845" s="26"/>
      <c r="K845" s="32"/>
      <c r="L845" s="30"/>
    </row>
    <row r="846" spans="4:12" s="1" customFormat="1">
      <c r="D846" s="1" t="str">
        <f t="shared" si="31"/>
        <v/>
      </c>
      <c r="E846" s="26"/>
      <c r="K846" s="32"/>
      <c r="L846" s="30"/>
    </row>
    <row r="847" spans="4:12" s="1" customFormat="1">
      <c r="D847" s="1" t="str">
        <f t="shared" si="31"/>
        <v/>
      </c>
      <c r="E847" s="26"/>
      <c r="K847" s="32"/>
      <c r="L847" s="30"/>
    </row>
    <row r="848" spans="4:12" s="1" customFormat="1">
      <c r="D848" s="1" t="str">
        <f t="shared" si="31"/>
        <v/>
      </c>
      <c r="E848" s="26"/>
      <c r="K848" s="32"/>
      <c r="L848" s="30"/>
    </row>
    <row r="849" spans="4:12" s="1" customFormat="1">
      <c r="D849" s="1" t="str">
        <f t="shared" si="31"/>
        <v/>
      </c>
      <c r="E849" s="26"/>
      <c r="K849" s="32"/>
      <c r="L849" s="30"/>
    </row>
    <row r="850" spans="4:12" s="1" customFormat="1">
      <c r="D850" s="1" t="str">
        <f t="shared" si="31"/>
        <v/>
      </c>
      <c r="E850" s="26"/>
      <c r="K850" s="32"/>
      <c r="L850" s="30"/>
    </row>
    <row r="851" spans="4:12" s="1" customFormat="1">
      <c r="D851" s="1" t="str">
        <f t="shared" si="31"/>
        <v/>
      </c>
      <c r="E851" s="26"/>
      <c r="K851" s="32"/>
      <c r="L851" s="30"/>
    </row>
    <row r="852" spans="4:12" s="1" customFormat="1">
      <c r="D852" s="1" t="str">
        <f t="shared" si="31"/>
        <v/>
      </c>
      <c r="E852" s="26"/>
      <c r="K852" s="32"/>
      <c r="L852" s="30"/>
    </row>
    <row r="853" spans="4:12" s="1" customFormat="1">
      <c r="D853" s="1" t="str">
        <f t="shared" si="31"/>
        <v/>
      </c>
      <c r="E853" s="26"/>
      <c r="K853" s="32"/>
      <c r="L853" s="30"/>
    </row>
    <row r="854" spans="4:12" s="1" customFormat="1">
      <c r="D854" s="1" t="str">
        <f t="shared" si="31"/>
        <v/>
      </c>
      <c r="E854" s="26"/>
      <c r="K854" s="32"/>
      <c r="L854" s="30"/>
    </row>
    <row r="855" spans="4:12" s="1" customFormat="1">
      <c r="D855" s="1" t="str">
        <f t="shared" si="31"/>
        <v/>
      </c>
      <c r="E855" s="26"/>
      <c r="K855" s="32"/>
      <c r="L855" s="30"/>
    </row>
    <row r="856" spans="4:12" s="1" customFormat="1">
      <c r="D856" s="1" t="str">
        <f t="shared" si="31"/>
        <v/>
      </c>
      <c r="E856" s="26"/>
      <c r="K856" s="32"/>
      <c r="L856" s="30"/>
    </row>
    <row r="857" spans="4:12" s="1" customFormat="1">
      <c r="D857" s="1" t="str">
        <f t="shared" si="31"/>
        <v/>
      </c>
      <c r="E857" s="26"/>
      <c r="K857" s="32"/>
      <c r="L857" s="30"/>
    </row>
    <row r="858" spans="4:12" s="1" customFormat="1">
      <c r="D858" s="1" t="str">
        <f t="shared" si="31"/>
        <v/>
      </c>
      <c r="E858" s="26"/>
      <c r="K858" s="32"/>
      <c r="L858" s="30"/>
    </row>
    <row r="859" spans="4:12" s="1" customFormat="1">
      <c r="D859" s="1" t="str">
        <f t="shared" si="31"/>
        <v/>
      </c>
      <c r="E859" s="26"/>
      <c r="K859" s="32"/>
      <c r="L859" s="30"/>
    </row>
    <row r="860" spans="4:12" s="1" customFormat="1">
      <c r="D860" s="1" t="str">
        <f t="shared" si="31"/>
        <v/>
      </c>
      <c r="E860" s="26"/>
      <c r="K860" s="32"/>
      <c r="L860" s="30"/>
    </row>
    <row r="861" spans="4:12" s="1" customFormat="1">
      <c r="D861" s="1" t="str">
        <f t="shared" si="31"/>
        <v/>
      </c>
      <c r="E861" s="26"/>
      <c r="K861" s="32"/>
      <c r="L861" s="30"/>
    </row>
    <row r="862" spans="4:12" s="1" customFormat="1">
      <c r="D862" s="1" t="str">
        <f t="shared" si="31"/>
        <v/>
      </c>
      <c r="E862" s="26"/>
      <c r="K862" s="32"/>
      <c r="L862" s="30"/>
    </row>
    <row r="863" spans="4:12" s="1" customFormat="1">
      <c r="D863" s="1" t="str">
        <f t="shared" si="31"/>
        <v/>
      </c>
      <c r="E863" s="26"/>
      <c r="K863" s="32"/>
      <c r="L863" s="30"/>
    </row>
    <row r="864" spans="4:12" s="1" customFormat="1">
      <c r="D864" s="1" t="str">
        <f t="shared" si="31"/>
        <v/>
      </c>
      <c r="E864" s="26"/>
      <c r="K864" s="32"/>
      <c r="L864" s="30"/>
    </row>
    <row r="865" spans="4:12" s="1" customFormat="1">
      <c r="D865" s="1" t="str">
        <f t="shared" si="31"/>
        <v/>
      </c>
      <c r="E865" s="26"/>
      <c r="K865" s="32"/>
      <c r="L865" s="30"/>
    </row>
    <row r="866" spans="4:12" s="1" customFormat="1">
      <c r="D866" s="1" t="str">
        <f t="shared" si="31"/>
        <v/>
      </c>
      <c r="E866" s="26"/>
      <c r="K866" s="32"/>
      <c r="L866" s="30"/>
    </row>
    <row r="867" spans="4:12" s="1" customFormat="1">
      <c r="D867" s="1" t="str">
        <f t="shared" si="31"/>
        <v/>
      </c>
      <c r="E867" s="26"/>
      <c r="K867" s="32"/>
      <c r="L867" s="30"/>
    </row>
    <row r="868" spans="4:12" s="1" customFormat="1">
      <c r="D868" s="1" t="str">
        <f t="shared" si="31"/>
        <v/>
      </c>
      <c r="E868" s="26"/>
      <c r="K868" s="32"/>
      <c r="L868" s="30"/>
    </row>
    <row r="869" spans="4:12" s="1" customFormat="1">
      <c r="D869" s="1" t="str">
        <f t="shared" si="31"/>
        <v/>
      </c>
      <c r="E869" s="26"/>
      <c r="K869" s="32"/>
      <c r="L869" s="30"/>
    </row>
    <row r="870" spans="4:12" s="1" customFormat="1">
      <c r="D870" s="1" t="str">
        <f t="shared" si="31"/>
        <v/>
      </c>
      <c r="E870" s="26"/>
      <c r="K870" s="32"/>
      <c r="L870" s="30"/>
    </row>
    <row r="871" spans="4:12" s="1" customFormat="1">
      <c r="D871" s="1" t="str">
        <f t="shared" si="31"/>
        <v/>
      </c>
      <c r="E871" s="26"/>
      <c r="K871" s="32"/>
      <c r="L871" s="30"/>
    </row>
    <row r="872" spans="4:12" s="1" customFormat="1">
      <c r="D872" s="1" t="str">
        <f t="shared" si="31"/>
        <v/>
      </c>
      <c r="E872" s="26"/>
      <c r="K872" s="32"/>
      <c r="L872" s="30"/>
    </row>
    <row r="873" spans="4:12" s="1" customFormat="1">
      <c r="D873" s="1" t="str">
        <f t="shared" si="31"/>
        <v/>
      </c>
      <c r="E873" s="26"/>
      <c r="K873" s="32"/>
      <c r="L873" s="30"/>
    </row>
    <row r="874" spans="4:12" s="1" customFormat="1">
      <c r="D874" s="1" t="str">
        <f t="shared" si="31"/>
        <v/>
      </c>
      <c r="E874" s="26"/>
      <c r="K874" s="32"/>
      <c r="L874" s="30"/>
    </row>
    <row r="875" spans="4:12" s="1" customFormat="1">
      <c r="D875" s="1" t="str">
        <f t="shared" si="31"/>
        <v/>
      </c>
      <c r="E875" s="26"/>
      <c r="K875" s="32"/>
      <c r="L875" s="30"/>
    </row>
    <row r="876" spans="4:12" s="1" customFormat="1">
      <c r="D876" s="1" t="str">
        <f t="shared" si="31"/>
        <v/>
      </c>
      <c r="E876" s="26"/>
      <c r="K876" s="32"/>
      <c r="L876" s="30"/>
    </row>
    <row r="877" spans="4:12" s="1" customFormat="1">
      <c r="D877" s="1" t="str">
        <f t="shared" si="31"/>
        <v/>
      </c>
      <c r="E877" s="26"/>
      <c r="K877" s="32"/>
      <c r="L877" s="30"/>
    </row>
    <row r="878" spans="4:12" s="1" customFormat="1">
      <c r="D878" s="1" t="str">
        <f t="shared" si="31"/>
        <v/>
      </c>
      <c r="E878" s="26"/>
      <c r="K878" s="32"/>
      <c r="L878" s="30"/>
    </row>
    <row r="879" spans="4:12" s="1" customFormat="1">
      <c r="D879" s="1" t="str">
        <f t="shared" si="31"/>
        <v/>
      </c>
      <c r="E879" s="26"/>
      <c r="K879" s="32"/>
      <c r="L879" s="30"/>
    </row>
    <row r="880" spans="4:12" s="1" customFormat="1">
      <c r="D880" s="1" t="str">
        <f t="shared" si="31"/>
        <v/>
      </c>
      <c r="E880" s="26"/>
      <c r="K880" s="32"/>
      <c r="L880" s="30"/>
    </row>
    <row r="881" spans="4:12" s="1" customFormat="1">
      <c r="D881" s="1" t="str">
        <f t="shared" si="31"/>
        <v/>
      </c>
      <c r="E881" s="26"/>
      <c r="K881" s="32"/>
      <c r="L881" s="30"/>
    </row>
    <row r="882" spans="4:12" s="1" customFormat="1">
      <c r="D882" s="1" t="str">
        <f t="shared" si="31"/>
        <v/>
      </c>
      <c r="E882" s="26"/>
      <c r="K882" s="32"/>
      <c r="L882" s="30"/>
    </row>
    <row r="883" spans="4:12" s="1" customFormat="1">
      <c r="D883" s="1" t="str">
        <f t="shared" si="31"/>
        <v/>
      </c>
      <c r="E883" s="26"/>
      <c r="K883" s="32"/>
      <c r="L883" s="30"/>
    </row>
    <row r="884" spans="4:12" s="1" customFormat="1">
      <c r="D884" s="1" t="str">
        <f t="shared" si="31"/>
        <v/>
      </c>
      <c r="E884" s="26"/>
      <c r="K884" s="32"/>
      <c r="L884" s="30"/>
    </row>
    <row r="885" spans="4:12" s="1" customFormat="1">
      <c r="D885" s="1" t="str">
        <f t="shared" si="31"/>
        <v/>
      </c>
      <c r="E885" s="26"/>
      <c r="K885" s="32"/>
      <c r="L885" s="30"/>
    </row>
    <row r="886" spans="4:12" s="1" customFormat="1">
      <c r="D886" s="1" t="str">
        <f t="shared" si="31"/>
        <v/>
      </c>
      <c r="E886" s="26"/>
      <c r="K886" s="32"/>
      <c r="L886" s="30"/>
    </row>
    <row r="887" spans="4:12" s="1" customFormat="1">
      <c r="D887" s="1" t="str">
        <f t="shared" si="31"/>
        <v/>
      </c>
      <c r="E887" s="26"/>
      <c r="K887" s="32"/>
      <c r="L887" s="30"/>
    </row>
    <row r="888" spans="4:12" s="1" customFormat="1">
      <c r="D888" s="1" t="str">
        <f t="shared" si="31"/>
        <v/>
      </c>
      <c r="E888" s="26"/>
      <c r="K888" s="32"/>
      <c r="L888" s="30"/>
    </row>
    <row r="889" spans="4:12" s="1" customFormat="1">
      <c r="D889" s="1" t="str">
        <f t="shared" si="31"/>
        <v/>
      </c>
      <c r="E889" s="26"/>
      <c r="K889" s="32"/>
      <c r="L889" s="30"/>
    </row>
    <row r="890" spans="4:12" s="1" customFormat="1">
      <c r="D890" s="1" t="str">
        <f t="shared" si="31"/>
        <v/>
      </c>
      <c r="E890" s="26"/>
      <c r="K890" s="32"/>
      <c r="L890" s="30"/>
    </row>
    <row r="891" spans="4:12" s="1" customFormat="1">
      <c r="D891" s="1" t="str">
        <f t="shared" si="31"/>
        <v/>
      </c>
      <c r="E891" s="26"/>
      <c r="K891" s="32"/>
      <c r="L891" s="30"/>
    </row>
    <row r="892" spans="4:12" s="1" customFormat="1">
      <c r="D892" s="1" t="str">
        <f t="shared" si="31"/>
        <v/>
      </c>
      <c r="E892" s="26"/>
      <c r="K892" s="32"/>
      <c r="L892" s="30"/>
    </row>
    <row r="893" spans="4:12" s="1" customFormat="1">
      <c r="D893" s="1" t="str">
        <f t="shared" si="31"/>
        <v/>
      </c>
      <c r="E893" s="26"/>
      <c r="K893" s="32"/>
      <c r="L893" s="30"/>
    </row>
    <row r="894" spans="4:12" s="1" customFormat="1">
      <c r="D894" s="1" t="str">
        <f t="shared" si="31"/>
        <v/>
      </c>
      <c r="E894" s="26"/>
      <c r="K894" s="32"/>
      <c r="L894" s="30"/>
    </row>
    <row r="895" spans="4:12" s="1" customFormat="1">
      <c r="D895" s="1" t="str">
        <f t="shared" si="31"/>
        <v/>
      </c>
      <c r="E895" s="26"/>
      <c r="K895" s="32"/>
      <c r="L895" s="30"/>
    </row>
    <row r="896" spans="4:12" s="1" customFormat="1">
      <c r="D896" s="1" t="str">
        <f t="shared" si="31"/>
        <v/>
      </c>
      <c r="E896" s="26"/>
      <c r="K896" s="32"/>
      <c r="L896" s="30"/>
    </row>
    <row r="897" spans="4:12" s="1" customFormat="1">
      <c r="D897" s="1" t="str">
        <f t="shared" si="31"/>
        <v/>
      </c>
      <c r="E897" s="26"/>
      <c r="K897" s="32"/>
      <c r="L897" s="30"/>
    </row>
    <row r="898" spans="4:12" s="1" customFormat="1">
      <c r="D898" s="1" t="str">
        <f t="shared" si="31"/>
        <v/>
      </c>
      <c r="E898" s="26"/>
      <c r="K898" s="32"/>
      <c r="L898" s="30"/>
    </row>
    <row r="899" spans="4:12" s="1" customFormat="1">
      <c r="D899" s="1" t="str">
        <f t="shared" si="31"/>
        <v/>
      </c>
      <c r="E899" s="26"/>
      <c r="K899" s="32"/>
      <c r="L899" s="30"/>
    </row>
    <row r="900" spans="4:12" s="1" customFormat="1">
      <c r="D900" s="1" t="str">
        <f t="shared" si="31"/>
        <v/>
      </c>
      <c r="E900" s="26"/>
      <c r="K900" s="32"/>
      <c r="L900" s="30"/>
    </row>
    <row r="901" spans="4:12" s="1" customFormat="1">
      <c r="D901" s="1" t="str">
        <f t="shared" si="31"/>
        <v/>
      </c>
      <c r="E901" s="26"/>
      <c r="K901" s="32"/>
      <c r="L901" s="30"/>
    </row>
    <row r="902" spans="4:12" s="1" customFormat="1">
      <c r="D902" s="1" t="str">
        <f t="shared" si="31"/>
        <v/>
      </c>
      <c r="E902" s="26"/>
      <c r="K902" s="32"/>
      <c r="L902" s="30"/>
    </row>
    <row r="903" spans="4:12" s="1" customFormat="1">
      <c r="D903" s="1" t="str">
        <f t="shared" si="31"/>
        <v/>
      </c>
      <c r="E903" s="26"/>
      <c r="K903" s="32"/>
      <c r="L903" s="30"/>
    </row>
    <row r="904" spans="4:12" s="1" customFormat="1">
      <c r="D904" s="1" t="str">
        <f t="shared" ref="D904:D967" si="32">IF(F904&lt;&gt;"",RIGHT(F904, LEN(F904) - FIND(" - ", F904) - 2),"")</f>
        <v/>
      </c>
      <c r="E904" s="26"/>
      <c r="K904" s="32"/>
      <c r="L904" s="30"/>
    </row>
    <row r="905" spans="4:12" s="1" customFormat="1">
      <c r="D905" s="1" t="str">
        <f t="shared" si="32"/>
        <v/>
      </c>
      <c r="E905" s="26"/>
      <c r="K905" s="32"/>
      <c r="L905" s="30"/>
    </row>
    <row r="906" spans="4:12" s="1" customFormat="1">
      <c r="D906" s="1" t="str">
        <f t="shared" si="32"/>
        <v/>
      </c>
      <c r="E906" s="26"/>
      <c r="K906" s="32"/>
      <c r="L906" s="30"/>
    </row>
    <row r="907" spans="4:12" s="1" customFormat="1">
      <c r="D907" s="1" t="str">
        <f t="shared" si="32"/>
        <v/>
      </c>
      <c r="E907" s="26"/>
      <c r="K907" s="32"/>
      <c r="L907" s="30"/>
    </row>
    <row r="908" spans="4:12" s="1" customFormat="1">
      <c r="D908" s="1" t="str">
        <f t="shared" si="32"/>
        <v/>
      </c>
      <c r="E908" s="26"/>
      <c r="K908" s="32"/>
      <c r="L908" s="30"/>
    </row>
    <row r="909" spans="4:12" s="1" customFormat="1">
      <c r="D909" s="1" t="str">
        <f t="shared" si="32"/>
        <v/>
      </c>
      <c r="E909" s="26"/>
      <c r="K909" s="32"/>
      <c r="L909" s="30"/>
    </row>
    <row r="910" spans="4:12" s="1" customFormat="1">
      <c r="D910" s="1" t="str">
        <f t="shared" si="32"/>
        <v/>
      </c>
      <c r="E910" s="26"/>
      <c r="K910" s="32"/>
      <c r="L910" s="30"/>
    </row>
    <row r="911" spans="4:12" s="1" customFormat="1">
      <c r="D911" s="1" t="str">
        <f t="shared" si="32"/>
        <v/>
      </c>
      <c r="E911" s="26"/>
      <c r="K911" s="32"/>
      <c r="L911" s="30"/>
    </row>
    <row r="912" spans="4:12" s="1" customFormat="1">
      <c r="D912" s="1" t="str">
        <f t="shared" si="32"/>
        <v/>
      </c>
      <c r="E912" s="26"/>
      <c r="K912" s="32"/>
      <c r="L912" s="30"/>
    </row>
    <row r="913" spans="4:12" s="1" customFormat="1">
      <c r="D913" s="1" t="str">
        <f t="shared" si="32"/>
        <v/>
      </c>
      <c r="E913" s="26"/>
      <c r="K913" s="32"/>
      <c r="L913" s="30"/>
    </row>
    <row r="914" spans="4:12" s="1" customFormat="1">
      <c r="D914" s="1" t="str">
        <f t="shared" si="32"/>
        <v/>
      </c>
      <c r="E914" s="26"/>
      <c r="K914" s="32"/>
      <c r="L914" s="30"/>
    </row>
    <row r="915" spans="4:12" s="1" customFormat="1">
      <c r="D915" s="1" t="str">
        <f t="shared" si="32"/>
        <v/>
      </c>
      <c r="E915" s="26"/>
      <c r="K915" s="32"/>
      <c r="L915" s="30"/>
    </row>
    <row r="916" spans="4:12" s="1" customFormat="1">
      <c r="D916" s="1" t="str">
        <f t="shared" si="32"/>
        <v/>
      </c>
      <c r="E916" s="26"/>
      <c r="K916" s="32"/>
      <c r="L916" s="30"/>
    </row>
    <row r="917" spans="4:12" s="1" customFormat="1">
      <c r="D917" s="1" t="str">
        <f t="shared" si="32"/>
        <v/>
      </c>
      <c r="E917" s="26"/>
      <c r="K917" s="32"/>
      <c r="L917" s="30"/>
    </row>
    <row r="918" spans="4:12" s="1" customFormat="1">
      <c r="D918" s="1" t="str">
        <f t="shared" si="32"/>
        <v/>
      </c>
      <c r="E918" s="26"/>
      <c r="K918" s="32"/>
      <c r="L918" s="30"/>
    </row>
    <row r="919" spans="4:12" s="1" customFormat="1">
      <c r="D919" s="1" t="str">
        <f t="shared" si="32"/>
        <v/>
      </c>
      <c r="E919" s="26"/>
      <c r="K919" s="32"/>
      <c r="L919" s="30"/>
    </row>
    <row r="920" spans="4:12" s="1" customFormat="1">
      <c r="D920" s="1" t="str">
        <f t="shared" si="32"/>
        <v/>
      </c>
      <c r="E920" s="26"/>
      <c r="K920" s="32"/>
      <c r="L920" s="30"/>
    </row>
    <row r="921" spans="4:12" s="1" customFormat="1">
      <c r="D921" s="1" t="str">
        <f t="shared" si="32"/>
        <v/>
      </c>
      <c r="E921" s="26"/>
      <c r="K921" s="32"/>
      <c r="L921" s="30"/>
    </row>
    <row r="922" spans="4:12" s="1" customFormat="1">
      <c r="D922" s="1" t="str">
        <f t="shared" si="32"/>
        <v/>
      </c>
      <c r="E922" s="26"/>
      <c r="K922" s="32"/>
      <c r="L922" s="30"/>
    </row>
    <row r="923" spans="4:12" s="1" customFormat="1">
      <c r="D923" s="1" t="str">
        <f t="shared" si="32"/>
        <v/>
      </c>
      <c r="E923" s="26"/>
      <c r="K923" s="32"/>
      <c r="L923" s="30"/>
    </row>
    <row r="924" spans="4:12" s="1" customFormat="1">
      <c r="D924" s="1" t="str">
        <f t="shared" si="32"/>
        <v/>
      </c>
      <c r="E924" s="26"/>
      <c r="K924" s="32"/>
      <c r="L924" s="30"/>
    </row>
    <row r="925" spans="4:12" s="1" customFormat="1">
      <c r="D925" s="1" t="str">
        <f t="shared" si="32"/>
        <v/>
      </c>
      <c r="E925" s="26"/>
      <c r="K925" s="32"/>
      <c r="L925" s="30"/>
    </row>
    <row r="926" spans="4:12" s="1" customFormat="1">
      <c r="D926" s="1" t="str">
        <f t="shared" si="32"/>
        <v/>
      </c>
      <c r="E926" s="26"/>
      <c r="K926" s="32"/>
      <c r="L926" s="30"/>
    </row>
    <row r="927" spans="4:12" s="1" customFormat="1">
      <c r="D927" s="1" t="str">
        <f t="shared" si="32"/>
        <v/>
      </c>
      <c r="E927" s="26"/>
      <c r="K927" s="32"/>
      <c r="L927" s="30"/>
    </row>
    <row r="928" spans="4:12" s="1" customFormat="1">
      <c r="D928" s="1" t="str">
        <f t="shared" si="32"/>
        <v/>
      </c>
      <c r="E928" s="26"/>
      <c r="K928" s="32"/>
      <c r="L928" s="30"/>
    </row>
    <row r="929" spans="4:12" s="1" customFormat="1">
      <c r="D929" s="1" t="str">
        <f t="shared" si="32"/>
        <v/>
      </c>
      <c r="E929" s="26"/>
      <c r="K929" s="32"/>
      <c r="L929" s="30"/>
    </row>
    <row r="930" spans="4:12" s="1" customFormat="1">
      <c r="D930" s="1" t="str">
        <f t="shared" si="32"/>
        <v/>
      </c>
      <c r="E930" s="26"/>
      <c r="K930" s="32"/>
      <c r="L930" s="30"/>
    </row>
    <row r="931" spans="4:12" s="1" customFormat="1">
      <c r="D931" s="1" t="str">
        <f t="shared" si="32"/>
        <v/>
      </c>
      <c r="E931" s="26"/>
      <c r="K931" s="32"/>
      <c r="L931" s="30"/>
    </row>
    <row r="932" spans="4:12" s="1" customFormat="1">
      <c r="D932" s="1" t="str">
        <f t="shared" si="32"/>
        <v/>
      </c>
      <c r="E932" s="26"/>
      <c r="K932" s="32"/>
      <c r="L932" s="30"/>
    </row>
    <row r="933" spans="4:12" s="1" customFormat="1">
      <c r="D933" s="1" t="str">
        <f t="shared" si="32"/>
        <v/>
      </c>
      <c r="E933" s="26"/>
      <c r="K933" s="32"/>
      <c r="L933" s="30"/>
    </row>
    <row r="934" spans="4:12" s="1" customFormat="1">
      <c r="D934" s="1" t="str">
        <f t="shared" si="32"/>
        <v/>
      </c>
      <c r="E934" s="26"/>
      <c r="K934" s="32"/>
      <c r="L934" s="30"/>
    </row>
    <row r="935" spans="4:12" s="1" customFormat="1">
      <c r="D935" s="1" t="str">
        <f t="shared" si="32"/>
        <v/>
      </c>
      <c r="E935" s="26"/>
      <c r="K935" s="32"/>
      <c r="L935" s="30"/>
    </row>
    <row r="936" spans="4:12" s="1" customFormat="1">
      <c r="D936" s="1" t="str">
        <f t="shared" si="32"/>
        <v/>
      </c>
      <c r="E936" s="26"/>
      <c r="K936" s="32"/>
      <c r="L936" s="30"/>
    </row>
    <row r="937" spans="4:12" s="1" customFormat="1">
      <c r="D937" s="1" t="str">
        <f t="shared" si="32"/>
        <v/>
      </c>
      <c r="E937" s="26"/>
      <c r="K937" s="32"/>
      <c r="L937" s="30"/>
    </row>
    <row r="938" spans="4:12" s="1" customFormat="1">
      <c r="D938" s="1" t="str">
        <f t="shared" si="32"/>
        <v/>
      </c>
      <c r="E938" s="26"/>
      <c r="K938" s="32"/>
      <c r="L938" s="30"/>
    </row>
    <row r="939" spans="4:12" s="1" customFormat="1">
      <c r="D939" s="1" t="str">
        <f t="shared" si="32"/>
        <v/>
      </c>
      <c r="E939" s="26"/>
      <c r="K939" s="32"/>
      <c r="L939" s="30"/>
    </row>
    <row r="940" spans="4:12" s="1" customFormat="1">
      <c r="D940" s="1" t="str">
        <f t="shared" si="32"/>
        <v/>
      </c>
      <c r="E940" s="26"/>
      <c r="K940" s="32"/>
      <c r="L940" s="30"/>
    </row>
    <row r="941" spans="4:12" s="1" customFormat="1">
      <c r="D941" s="1" t="str">
        <f t="shared" si="32"/>
        <v/>
      </c>
      <c r="E941" s="26"/>
      <c r="K941" s="32"/>
      <c r="L941" s="30"/>
    </row>
    <row r="942" spans="4:12" s="1" customFormat="1">
      <c r="D942" s="1" t="str">
        <f t="shared" si="32"/>
        <v/>
      </c>
      <c r="E942" s="26"/>
      <c r="K942" s="32"/>
      <c r="L942" s="30"/>
    </row>
    <row r="943" spans="4:12" s="1" customFormat="1">
      <c r="D943" s="1" t="str">
        <f t="shared" si="32"/>
        <v/>
      </c>
      <c r="E943" s="26"/>
      <c r="K943" s="32"/>
      <c r="L943" s="30"/>
    </row>
    <row r="944" spans="4:12" s="1" customFormat="1">
      <c r="D944" s="1" t="str">
        <f t="shared" si="32"/>
        <v/>
      </c>
      <c r="E944" s="26"/>
      <c r="K944" s="32"/>
      <c r="L944" s="30"/>
    </row>
    <row r="945" spans="4:12" s="1" customFormat="1">
      <c r="D945" s="1" t="str">
        <f t="shared" si="32"/>
        <v/>
      </c>
      <c r="E945" s="26"/>
      <c r="K945" s="32"/>
      <c r="L945" s="30"/>
    </row>
    <row r="946" spans="4:12" s="1" customFormat="1">
      <c r="D946" s="1" t="str">
        <f t="shared" si="32"/>
        <v/>
      </c>
      <c r="E946" s="26"/>
      <c r="K946" s="32"/>
      <c r="L946" s="30"/>
    </row>
    <row r="947" spans="4:12" s="1" customFormat="1">
      <c r="D947" s="1" t="str">
        <f t="shared" si="32"/>
        <v/>
      </c>
      <c r="E947" s="26"/>
      <c r="K947" s="32"/>
      <c r="L947" s="30"/>
    </row>
    <row r="948" spans="4:12" s="1" customFormat="1">
      <c r="D948" s="1" t="str">
        <f t="shared" si="32"/>
        <v/>
      </c>
      <c r="E948" s="26"/>
      <c r="K948" s="32"/>
      <c r="L948" s="30"/>
    </row>
    <row r="949" spans="4:12" s="1" customFormat="1">
      <c r="D949" s="1" t="str">
        <f t="shared" si="32"/>
        <v/>
      </c>
      <c r="E949" s="26"/>
      <c r="K949" s="32"/>
      <c r="L949" s="30"/>
    </row>
    <row r="950" spans="4:12" s="1" customFormat="1">
      <c r="D950" s="1" t="str">
        <f t="shared" si="32"/>
        <v/>
      </c>
      <c r="E950" s="26"/>
      <c r="K950" s="32"/>
      <c r="L950" s="30"/>
    </row>
    <row r="951" spans="4:12" s="1" customFormat="1">
      <c r="D951" s="1" t="str">
        <f t="shared" si="32"/>
        <v/>
      </c>
      <c r="E951" s="26"/>
      <c r="K951" s="32"/>
      <c r="L951" s="30"/>
    </row>
    <row r="952" spans="4:12" s="1" customFormat="1">
      <c r="D952" s="1" t="str">
        <f t="shared" si="32"/>
        <v/>
      </c>
      <c r="E952" s="26"/>
      <c r="K952" s="32"/>
      <c r="L952" s="30"/>
    </row>
    <row r="953" spans="4:12" s="1" customFormat="1">
      <c r="D953" s="1" t="str">
        <f t="shared" si="32"/>
        <v/>
      </c>
      <c r="E953" s="26"/>
      <c r="K953" s="32"/>
      <c r="L953" s="30"/>
    </row>
    <row r="954" spans="4:12" s="1" customFormat="1">
      <c r="D954" s="1" t="str">
        <f t="shared" si="32"/>
        <v/>
      </c>
      <c r="E954" s="26"/>
      <c r="K954" s="32"/>
      <c r="L954" s="30"/>
    </row>
    <row r="955" spans="4:12" s="1" customFormat="1">
      <c r="D955" s="1" t="str">
        <f t="shared" si="32"/>
        <v/>
      </c>
      <c r="E955" s="26"/>
      <c r="K955" s="32"/>
      <c r="L955" s="30"/>
    </row>
    <row r="956" spans="4:12" s="1" customFormat="1">
      <c r="D956" s="1" t="str">
        <f t="shared" si="32"/>
        <v/>
      </c>
      <c r="E956" s="26"/>
      <c r="K956" s="32"/>
      <c r="L956" s="30"/>
    </row>
    <row r="957" spans="4:12" s="1" customFormat="1">
      <c r="D957" s="1" t="str">
        <f t="shared" si="32"/>
        <v/>
      </c>
      <c r="E957" s="26"/>
      <c r="K957" s="32"/>
      <c r="L957" s="30"/>
    </row>
    <row r="958" spans="4:12" s="1" customFormat="1">
      <c r="D958" s="1" t="str">
        <f t="shared" si="32"/>
        <v/>
      </c>
      <c r="E958" s="26"/>
      <c r="K958" s="32"/>
      <c r="L958" s="30"/>
    </row>
    <row r="959" spans="4:12" s="1" customFormat="1">
      <c r="D959" s="1" t="str">
        <f t="shared" si="32"/>
        <v/>
      </c>
      <c r="E959" s="26"/>
      <c r="K959" s="32"/>
      <c r="L959" s="30"/>
    </row>
    <row r="960" spans="4:12" s="1" customFormat="1">
      <c r="D960" s="1" t="str">
        <f t="shared" si="32"/>
        <v/>
      </c>
      <c r="E960" s="26"/>
      <c r="K960" s="32"/>
      <c r="L960" s="30"/>
    </row>
    <row r="961" spans="4:12" s="1" customFormat="1">
      <c r="D961" s="1" t="str">
        <f t="shared" si="32"/>
        <v/>
      </c>
      <c r="E961" s="26"/>
      <c r="K961" s="32"/>
      <c r="L961" s="30"/>
    </row>
    <row r="962" spans="4:12" s="1" customFormat="1">
      <c r="D962" s="1" t="str">
        <f t="shared" si="32"/>
        <v/>
      </c>
      <c r="E962" s="26"/>
      <c r="K962" s="32"/>
      <c r="L962" s="30"/>
    </row>
    <row r="963" spans="4:12" s="1" customFormat="1">
      <c r="D963" s="1" t="str">
        <f t="shared" si="32"/>
        <v/>
      </c>
      <c r="E963" s="26"/>
      <c r="K963" s="32"/>
      <c r="L963" s="30"/>
    </row>
    <row r="964" spans="4:12" s="1" customFormat="1">
      <c r="D964" s="1" t="str">
        <f t="shared" si="32"/>
        <v/>
      </c>
      <c r="E964" s="26"/>
      <c r="K964" s="32"/>
      <c r="L964" s="30"/>
    </row>
    <row r="965" spans="4:12" s="1" customFormat="1">
      <c r="D965" s="1" t="str">
        <f t="shared" si="32"/>
        <v/>
      </c>
      <c r="E965" s="26"/>
      <c r="K965" s="32"/>
      <c r="L965" s="30"/>
    </row>
    <row r="966" spans="4:12" s="1" customFormat="1">
      <c r="D966" s="1" t="str">
        <f t="shared" si="32"/>
        <v/>
      </c>
      <c r="E966" s="26"/>
      <c r="K966" s="32"/>
      <c r="L966" s="30"/>
    </row>
    <row r="967" spans="4:12" s="1" customFormat="1">
      <c r="D967" s="1" t="str">
        <f t="shared" si="32"/>
        <v/>
      </c>
      <c r="E967" s="26"/>
      <c r="K967" s="32"/>
      <c r="L967" s="30"/>
    </row>
    <row r="968" spans="4:12" s="1" customFormat="1">
      <c r="D968" s="1" t="str">
        <f t="shared" ref="D968:D1031" si="33">IF(F968&lt;&gt;"",RIGHT(F968, LEN(F968) - FIND(" - ", F968) - 2),"")</f>
        <v/>
      </c>
      <c r="E968" s="26"/>
      <c r="K968" s="32"/>
      <c r="L968" s="30"/>
    </row>
    <row r="969" spans="4:12" s="1" customFormat="1">
      <c r="D969" s="1" t="str">
        <f t="shared" si="33"/>
        <v/>
      </c>
      <c r="E969" s="26"/>
      <c r="K969" s="32"/>
      <c r="L969" s="30"/>
    </row>
    <row r="970" spans="4:12" s="1" customFormat="1">
      <c r="D970" s="1" t="str">
        <f t="shared" si="33"/>
        <v/>
      </c>
      <c r="E970" s="26"/>
      <c r="K970" s="32"/>
      <c r="L970" s="30"/>
    </row>
    <row r="971" spans="4:12" s="1" customFormat="1">
      <c r="D971" s="1" t="str">
        <f t="shared" si="33"/>
        <v/>
      </c>
      <c r="E971" s="26"/>
      <c r="K971" s="32"/>
      <c r="L971" s="30"/>
    </row>
    <row r="972" spans="4:12" s="1" customFormat="1">
      <c r="D972" s="1" t="str">
        <f t="shared" si="33"/>
        <v/>
      </c>
      <c r="E972" s="26"/>
      <c r="K972" s="32"/>
      <c r="L972" s="30"/>
    </row>
    <row r="973" spans="4:12" s="1" customFormat="1">
      <c r="D973" s="1" t="str">
        <f t="shared" si="33"/>
        <v/>
      </c>
      <c r="E973" s="26"/>
      <c r="K973" s="32"/>
      <c r="L973" s="30"/>
    </row>
    <row r="974" spans="4:12" s="1" customFormat="1">
      <c r="D974" s="1" t="str">
        <f t="shared" si="33"/>
        <v/>
      </c>
      <c r="E974" s="26"/>
      <c r="K974" s="32"/>
      <c r="L974" s="30"/>
    </row>
    <row r="975" spans="4:12" s="1" customFormat="1">
      <c r="D975" s="1" t="str">
        <f t="shared" si="33"/>
        <v/>
      </c>
      <c r="E975" s="26"/>
      <c r="K975" s="32"/>
      <c r="L975" s="30"/>
    </row>
    <row r="976" spans="4:12" s="1" customFormat="1">
      <c r="D976" s="1" t="str">
        <f t="shared" si="33"/>
        <v/>
      </c>
      <c r="E976" s="26"/>
      <c r="K976" s="32"/>
      <c r="L976" s="30"/>
    </row>
    <row r="977" spans="4:12" s="1" customFormat="1">
      <c r="D977" s="1" t="str">
        <f t="shared" si="33"/>
        <v/>
      </c>
      <c r="E977" s="26"/>
      <c r="K977" s="32"/>
      <c r="L977" s="30"/>
    </row>
    <row r="978" spans="4:12" s="1" customFormat="1">
      <c r="D978" s="1" t="str">
        <f t="shared" si="33"/>
        <v/>
      </c>
      <c r="E978" s="26"/>
      <c r="K978" s="32"/>
      <c r="L978" s="30"/>
    </row>
    <row r="979" spans="4:12" s="1" customFormat="1">
      <c r="D979" s="1" t="str">
        <f t="shared" si="33"/>
        <v/>
      </c>
      <c r="E979" s="26"/>
      <c r="K979" s="32"/>
      <c r="L979" s="30"/>
    </row>
    <row r="980" spans="4:12" s="1" customFormat="1">
      <c r="D980" s="1" t="str">
        <f t="shared" si="33"/>
        <v/>
      </c>
      <c r="E980" s="26"/>
      <c r="K980" s="32"/>
      <c r="L980" s="30"/>
    </row>
    <row r="981" spans="4:12" s="1" customFormat="1">
      <c r="D981" s="1" t="str">
        <f t="shared" si="33"/>
        <v/>
      </c>
      <c r="E981" s="26"/>
      <c r="K981" s="32"/>
      <c r="L981" s="30"/>
    </row>
    <row r="982" spans="4:12" s="1" customFormat="1">
      <c r="D982" s="1" t="str">
        <f t="shared" si="33"/>
        <v/>
      </c>
      <c r="E982" s="26"/>
      <c r="K982" s="32"/>
      <c r="L982" s="30"/>
    </row>
    <row r="983" spans="4:12" s="1" customFormat="1">
      <c r="D983" s="1" t="str">
        <f t="shared" si="33"/>
        <v/>
      </c>
      <c r="E983" s="26"/>
      <c r="K983" s="32"/>
      <c r="L983" s="30"/>
    </row>
    <row r="984" spans="4:12" s="1" customFormat="1">
      <c r="D984" s="1" t="str">
        <f t="shared" si="33"/>
        <v/>
      </c>
      <c r="E984" s="26"/>
      <c r="K984" s="32"/>
      <c r="L984" s="30"/>
    </row>
    <row r="985" spans="4:12" s="1" customFormat="1">
      <c r="D985" s="1" t="str">
        <f t="shared" si="33"/>
        <v/>
      </c>
      <c r="E985" s="26"/>
      <c r="K985" s="32"/>
      <c r="L985" s="30"/>
    </row>
    <row r="986" spans="4:12" s="1" customFormat="1">
      <c r="D986" s="1" t="str">
        <f t="shared" si="33"/>
        <v/>
      </c>
      <c r="E986" s="26"/>
      <c r="K986" s="32"/>
      <c r="L986" s="30"/>
    </row>
    <row r="987" spans="4:12" s="1" customFormat="1">
      <c r="D987" s="1" t="str">
        <f t="shared" si="33"/>
        <v/>
      </c>
      <c r="E987" s="26"/>
      <c r="K987" s="32"/>
      <c r="L987" s="30"/>
    </row>
    <row r="988" spans="4:12" s="1" customFormat="1">
      <c r="D988" s="1" t="str">
        <f t="shared" si="33"/>
        <v/>
      </c>
      <c r="E988" s="26"/>
      <c r="K988" s="32"/>
      <c r="L988" s="30"/>
    </row>
    <row r="989" spans="4:12" s="1" customFormat="1">
      <c r="D989" s="1" t="str">
        <f t="shared" si="33"/>
        <v/>
      </c>
      <c r="E989" s="26"/>
      <c r="K989" s="32"/>
      <c r="L989" s="30"/>
    </row>
    <row r="990" spans="4:12" s="1" customFormat="1">
      <c r="D990" s="1" t="str">
        <f t="shared" si="33"/>
        <v/>
      </c>
      <c r="E990" s="26"/>
      <c r="K990" s="32"/>
      <c r="L990" s="30"/>
    </row>
    <row r="991" spans="4:12" s="1" customFormat="1">
      <c r="D991" s="1" t="str">
        <f t="shared" si="33"/>
        <v/>
      </c>
      <c r="E991" s="26"/>
      <c r="K991" s="32"/>
      <c r="L991" s="30"/>
    </row>
    <row r="992" spans="4:12" s="1" customFormat="1">
      <c r="D992" s="1" t="str">
        <f t="shared" si="33"/>
        <v/>
      </c>
      <c r="E992" s="26"/>
      <c r="K992" s="32"/>
      <c r="L992" s="30"/>
    </row>
    <row r="993" spans="4:12" s="1" customFormat="1">
      <c r="D993" s="1" t="str">
        <f t="shared" si="33"/>
        <v/>
      </c>
      <c r="E993" s="26"/>
      <c r="K993" s="32"/>
      <c r="L993" s="30"/>
    </row>
    <row r="994" spans="4:12" s="1" customFormat="1">
      <c r="D994" s="1" t="str">
        <f t="shared" si="33"/>
        <v/>
      </c>
      <c r="E994" s="26"/>
      <c r="K994" s="32"/>
      <c r="L994" s="30"/>
    </row>
    <row r="995" spans="4:12" s="1" customFormat="1">
      <c r="D995" s="1" t="str">
        <f t="shared" si="33"/>
        <v/>
      </c>
      <c r="E995" s="26"/>
      <c r="K995" s="32"/>
      <c r="L995" s="30"/>
    </row>
    <row r="996" spans="4:12" s="1" customFormat="1">
      <c r="D996" s="1" t="str">
        <f t="shared" si="33"/>
        <v/>
      </c>
      <c r="E996" s="26"/>
      <c r="K996" s="32"/>
      <c r="L996" s="30"/>
    </row>
    <row r="997" spans="4:12" s="1" customFormat="1">
      <c r="D997" s="1" t="str">
        <f t="shared" si="33"/>
        <v/>
      </c>
      <c r="E997" s="26"/>
      <c r="K997" s="32"/>
      <c r="L997" s="30"/>
    </row>
    <row r="998" spans="4:12" s="1" customFormat="1">
      <c r="D998" s="1" t="str">
        <f t="shared" si="33"/>
        <v/>
      </c>
      <c r="E998" s="26"/>
      <c r="K998" s="32"/>
      <c r="L998" s="30"/>
    </row>
    <row r="999" spans="4:12" s="1" customFormat="1">
      <c r="D999" s="1" t="str">
        <f t="shared" si="33"/>
        <v/>
      </c>
      <c r="E999" s="26"/>
      <c r="K999" s="32"/>
      <c r="L999" s="30"/>
    </row>
    <row r="1000" spans="4:12" s="1" customFormat="1">
      <c r="D1000" s="1" t="str">
        <f t="shared" si="33"/>
        <v/>
      </c>
      <c r="E1000" s="26"/>
      <c r="K1000" s="32"/>
      <c r="L1000" s="30"/>
    </row>
    <row r="1001" spans="4:12" s="1" customFormat="1">
      <c r="D1001" s="1" t="str">
        <f t="shared" si="33"/>
        <v/>
      </c>
      <c r="E1001" s="26"/>
      <c r="K1001" s="32"/>
      <c r="L1001" s="30"/>
    </row>
    <row r="1002" spans="4:12" s="1" customFormat="1">
      <c r="D1002" s="1" t="str">
        <f t="shared" si="33"/>
        <v/>
      </c>
      <c r="E1002" s="26"/>
      <c r="K1002" s="32"/>
      <c r="L1002" s="30"/>
    </row>
    <row r="1003" spans="4:12" s="1" customFormat="1">
      <c r="D1003" s="1" t="str">
        <f t="shared" si="33"/>
        <v/>
      </c>
      <c r="E1003" s="26"/>
      <c r="K1003" s="32"/>
      <c r="L1003" s="30"/>
    </row>
    <row r="1004" spans="4:12" s="1" customFormat="1">
      <c r="D1004" s="1" t="str">
        <f t="shared" si="33"/>
        <v/>
      </c>
      <c r="E1004" s="26"/>
      <c r="K1004" s="32"/>
      <c r="L1004" s="30"/>
    </row>
    <row r="1005" spans="4:12" s="1" customFormat="1">
      <c r="D1005" s="1" t="str">
        <f t="shared" si="33"/>
        <v/>
      </c>
      <c r="E1005" s="26"/>
      <c r="K1005" s="32"/>
      <c r="L1005" s="30"/>
    </row>
    <row r="1006" spans="4:12" s="1" customFormat="1">
      <c r="D1006" s="1" t="str">
        <f t="shared" si="33"/>
        <v/>
      </c>
      <c r="E1006" s="26"/>
      <c r="K1006" s="32"/>
      <c r="L1006" s="30"/>
    </row>
    <row r="1007" spans="4:12" s="1" customFormat="1">
      <c r="D1007" s="1" t="str">
        <f t="shared" si="33"/>
        <v/>
      </c>
      <c r="E1007" s="26"/>
      <c r="K1007" s="32"/>
      <c r="L1007" s="30"/>
    </row>
    <row r="1008" spans="4:12" s="1" customFormat="1">
      <c r="D1008" s="1" t="str">
        <f t="shared" si="33"/>
        <v/>
      </c>
      <c r="E1008" s="26"/>
      <c r="K1008" s="32"/>
      <c r="L1008" s="30"/>
    </row>
    <row r="1009" spans="4:12" s="1" customFormat="1">
      <c r="D1009" s="1" t="str">
        <f t="shared" si="33"/>
        <v/>
      </c>
      <c r="E1009" s="26"/>
      <c r="K1009" s="32"/>
      <c r="L1009" s="30"/>
    </row>
    <row r="1010" spans="4:12" s="1" customFormat="1">
      <c r="D1010" s="1" t="str">
        <f t="shared" si="33"/>
        <v/>
      </c>
      <c r="E1010" s="26"/>
      <c r="K1010" s="32"/>
      <c r="L1010" s="30"/>
    </row>
    <row r="1011" spans="4:12" s="1" customFormat="1">
      <c r="D1011" s="1" t="str">
        <f t="shared" si="33"/>
        <v/>
      </c>
      <c r="E1011" s="26"/>
      <c r="K1011" s="32"/>
      <c r="L1011" s="30"/>
    </row>
    <row r="1012" spans="4:12" s="1" customFormat="1">
      <c r="D1012" s="1" t="str">
        <f t="shared" si="33"/>
        <v/>
      </c>
      <c r="E1012" s="26"/>
      <c r="K1012" s="32"/>
      <c r="L1012" s="30"/>
    </row>
    <row r="1013" spans="4:12" s="1" customFormat="1">
      <c r="D1013" s="1" t="str">
        <f t="shared" si="33"/>
        <v/>
      </c>
      <c r="E1013" s="26"/>
      <c r="K1013" s="32"/>
      <c r="L1013" s="30"/>
    </row>
    <row r="1014" spans="4:12" s="1" customFormat="1">
      <c r="D1014" s="1" t="str">
        <f t="shared" si="33"/>
        <v/>
      </c>
      <c r="E1014" s="26"/>
      <c r="K1014" s="32"/>
      <c r="L1014" s="30"/>
    </row>
    <row r="1015" spans="4:12" s="1" customFormat="1">
      <c r="D1015" s="1" t="str">
        <f t="shared" si="33"/>
        <v/>
      </c>
      <c r="E1015" s="26"/>
      <c r="K1015" s="32"/>
      <c r="L1015" s="30"/>
    </row>
    <row r="1016" spans="4:12" s="1" customFormat="1">
      <c r="D1016" s="1" t="str">
        <f t="shared" si="33"/>
        <v/>
      </c>
      <c r="E1016" s="26"/>
      <c r="K1016" s="32"/>
      <c r="L1016" s="30"/>
    </row>
    <row r="1017" spans="4:12" s="1" customFormat="1">
      <c r="D1017" s="1" t="str">
        <f t="shared" si="33"/>
        <v/>
      </c>
      <c r="E1017" s="26"/>
      <c r="K1017" s="32"/>
      <c r="L1017" s="30"/>
    </row>
    <row r="1018" spans="4:12" s="1" customFormat="1">
      <c r="D1018" s="1" t="str">
        <f t="shared" si="33"/>
        <v/>
      </c>
      <c r="E1018" s="26"/>
      <c r="K1018" s="32"/>
      <c r="L1018" s="30"/>
    </row>
    <row r="1019" spans="4:12" s="1" customFormat="1">
      <c r="D1019" s="1" t="str">
        <f t="shared" si="33"/>
        <v/>
      </c>
      <c r="E1019" s="26"/>
      <c r="K1019" s="32"/>
      <c r="L1019" s="30"/>
    </row>
    <row r="1020" spans="4:12" s="1" customFormat="1">
      <c r="D1020" s="1" t="str">
        <f t="shared" si="33"/>
        <v/>
      </c>
      <c r="E1020" s="26"/>
      <c r="K1020" s="32"/>
      <c r="L1020" s="30"/>
    </row>
    <row r="1021" spans="4:12" s="1" customFormat="1">
      <c r="D1021" s="1" t="str">
        <f t="shared" si="33"/>
        <v/>
      </c>
      <c r="E1021" s="26"/>
      <c r="K1021" s="32"/>
      <c r="L1021" s="30"/>
    </row>
    <row r="1022" spans="4:12" s="1" customFormat="1">
      <c r="D1022" s="1" t="str">
        <f t="shared" si="33"/>
        <v/>
      </c>
      <c r="E1022" s="26"/>
      <c r="K1022" s="32"/>
      <c r="L1022" s="30"/>
    </row>
    <row r="1023" spans="4:12" s="1" customFormat="1">
      <c r="D1023" s="1" t="str">
        <f t="shared" si="33"/>
        <v/>
      </c>
      <c r="E1023" s="26"/>
      <c r="K1023" s="32"/>
      <c r="L1023" s="30"/>
    </row>
    <row r="1024" spans="4:12" s="1" customFormat="1">
      <c r="D1024" s="1" t="str">
        <f t="shared" si="33"/>
        <v/>
      </c>
      <c r="E1024" s="26"/>
      <c r="K1024" s="32"/>
      <c r="L1024" s="30"/>
    </row>
    <row r="1025" spans="4:12" s="1" customFormat="1">
      <c r="D1025" s="1" t="str">
        <f t="shared" si="33"/>
        <v/>
      </c>
      <c r="E1025" s="26"/>
      <c r="K1025" s="32"/>
      <c r="L1025" s="30"/>
    </row>
    <row r="1026" spans="4:12" s="1" customFormat="1">
      <c r="D1026" s="1" t="str">
        <f t="shared" si="33"/>
        <v/>
      </c>
      <c r="E1026" s="26"/>
      <c r="K1026" s="32"/>
      <c r="L1026" s="30"/>
    </row>
    <row r="1027" spans="4:12" s="1" customFormat="1">
      <c r="D1027" s="1" t="str">
        <f t="shared" si="33"/>
        <v/>
      </c>
      <c r="E1027" s="26"/>
      <c r="K1027" s="32"/>
      <c r="L1027" s="30"/>
    </row>
    <row r="1028" spans="4:12" s="1" customFormat="1">
      <c r="D1028" s="1" t="str">
        <f t="shared" si="33"/>
        <v/>
      </c>
      <c r="E1028" s="26"/>
      <c r="K1028" s="32"/>
      <c r="L1028" s="30"/>
    </row>
    <row r="1029" spans="4:12" s="1" customFormat="1">
      <c r="D1029" s="1" t="str">
        <f t="shared" si="33"/>
        <v/>
      </c>
      <c r="E1029" s="26"/>
      <c r="K1029" s="32"/>
      <c r="L1029" s="30"/>
    </row>
    <row r="1030" spans="4:12" s="1" customFormat="1">
      <c r="D1030" s="1" t="str">
        <f t="shared" si="33"/>
        <v/>
      </c>
      <c r="E1030" s="26"/>
      <c r="K1030" s="32"/>
      <c r="L1030" s="30"/>
    </row>
    <row r="1031" spans="4:12" s="1" customFormat="1">
      <c r="D1031" s="1" t="str">
        <f t="shared" si="33"/>
        <v/>
      </c>
      <c r="E1031" s="26"/>
      <c r="K1031" s="32"/>
      <c r="L1031" s="30"/>
    </row>
    <row r="1032" spans="4:12" s="1" customFormat="1">
      <c r="D1032" s="1" t="str">
        <f t="shared" ref="D1032:D1095" si="34">IF(F1032&lt;&gt;"",RIGHT(F1032, LEN(F1032) - FIND(" - ", F1032) - 2),"")</f>
        <v/>
      </c>
      <c r="E1032" s="26"/>
      <c r="K1032" s="32"/>
      <c r="L1032" s="30"/>
    </row>
    <row r="1033" spans="4:12" s="1" customFormat="1">
      <c r="D1033" s="1" t="str">
        <f t="shared" si="34"/>
        <v/>
      </c>
      <c r="E1033" s="26"/>
      <c r="K1033" s="32"/>
      <c r="L1033" s="30"/>
    </row>
    <row r="1034" spans="4:12" s="1" customFormat="1">
      <c r="D1034" s="1" t="str">
        <f t="shared" si="34"/>
        <v/>
      </c>
      <c r="E1034" s="26"/>
      <c r="K1034" s="32"/>
      <c r="L1034" s="30"/>
    </row>
    <row r="1035" spans="4:12" s="1" customFormat="1">
      <c r="D1035" s="1" t="str">
        <f t="shared" si="34"/>
        <v/>
      </c>
      <c r="E1035" s="26"/>
      <c r="K1035" s="32"/>
      <c r="L1035" s="30"/>
    </row>
    <row r="1036" spans="4:12" s="1" customFormat="1">
      <c r="D1036" s="1" t="str">
        <f t="shared" si="34"/>
        <v/>
      </c>
      <c r="E1036" s="26"/>
      <c r="K1036" s="32"/>
      <c r="L1036" s="30"/>
    </row>
    <row r="1037" spans="4:12" s="1" customFormat="1">
      <c r="D1037" s="1" t="str">
        <f t="shared" si="34"/>
        <v/>
      </c>
      <c r="E1037" s="26"/>
      <c r="K1037" s="32"/>
      <c r="L1037" s="30"/>
    </row>
    <row r="1038" spans="4:12" s="1" customFormat="1">
      <c r="D1038" s="1" t="str">
        <f t="shared" si="34"/>
        <v/>
      </c>
      <c r="E1038" s="26"/>
      <c r="K1038" s="32"/>
      <c r="L1038" s="30"/>
    </row>
    <row r="1039" spans="4:12" s="1" customFormat="1">
      <c r="D1039" s="1" t="str">
        <f t="shared" si="34"/>
        <v/>
      </c>
      <c r="E1039" s="26"/>
      <c r="K1039" s="32"/>
      <c r="L1039" s="30"/>
    </row>
    <row r="1040" spans="4:12" s="1" customFormat="1">
      <c r="D1040" s="1" t="str">
        <f t="shared" si="34"/>
        <v/>
      </c>
      <c r="E1040" s="26"/>
      <c r="K1040" s="32"/>
      <c r="L1040" s="30"/>
    </row>
    <row r="1041" spans="4:12" s="1" customFormat="1">
      <c r="D1041" s="1" t="str">
        <f t="shared" si="34"/>
        <v/>
      </c>
      <c r="E1041" s="26"/>
      <c r="K1041" s="32"/>
      <c r="L1041" s="30"/>
    </row>
    <row r="1042" spans="4:12" s="1" customFormat="1">
      <c r="D1042" s="1" t="str">
        <f t="shared" si="34"/>
        <v/>
      </c>
      <c r="E1042" s="26"/>
      <c r="K1042" s="32"/>
      <c r="L1042" s="30"/>
    </row>
    <row r="1043" spans="4:12" s="1" customFormat="1">
      <c r="D1043" s="1" t="str">
        <f t="shared" si="34"/>
        <v/>
      </c>
      <c r="E1043" s="26"/>
      <c r="K1043" s="32"/>
      <c r="L1043" s="30"/>
    </row>
    <row r="1044" spans="4:12" s="1" customFormat="1">
      <c r="D1044" s="1" t="str">
        <f t="shared" si="34"/>
        <v/>
      </c>
      <c r="E1044" s="26"/>
      <c r="K1044" s="32"/>
      <c r="L1044" s="30"/>
    </row>
    <row r="1045" spans="4:12" s="1" customFormat="1">
      <c r="D1045" s="1" t="str">
        <f t="shared" si="34"/>
        <v/>
      </c>
      <c r="E1045" s="26"/>
      <c r="K1045" s="32"/>
      <c r="L1045" s="30"/>
    </row>
    <row r="1046" spans="4:12" s="1" customFormat="1">
      <c r="D1046" s="1" t="str">
        <f t="shared" si="34"/>
        <v/>
      </c>
      <c r="E1046" s="26"/>
      <c r="K1046" s="32"/>
      <c r="L1046" s="30"/>
    </row>
    <row r="1047" spans="4:12" s="1" customFormat="1">
      <c r="D1047" s="1" t="str">
        <f t="shared" si="34"/>
        <v/>
      </c>
      <c r="E1047" s="26"/>
      <c r="K1047" s="32"/>
      <c r="L1047" s="30"/>
    </row>
    <row r="1048" spans="4:12" s="1" customFormat="1">
      <c r="D1048" s="1" t="str">
        <f t="shared" si="34"/>
        <v/>
      </c>
      <c r="E1048" s="26"/>
      <c r="K1048" s="32"/>
      <c r="L1048" s="30"/>
    </row>
    <row r="1049" spans="4:12" s="1" customFormat="1">
      <c r="D1049" s="1" t="str">
        <f t="shared" si="34"/>
        <v/>
      </c>
      <c r="E1049" s="26"/>
      <c r="K1049" s="32"/>
      <c r="L1049" s="30"/>
    </row>
    <row r="1050" spans="4:12" s="1" customFormat="1">
      <c r="D1050" s="1" t="str">
        <f t="shared" si="34"/>
        <v/>
      </c>
      <c r="E1050" s="26"/>
      <c r="K1050" s="32"/>
      <c r="L1050" s="30"/>
    </row>
    <row r="1051" spans="4:12" s="1" customFormat="1">
      <c r="D1051" s="1" t="str">
        <f t="shared" si="34"/>
        <v/>
      </c>
      <c r="E1051" s="26"/>
      <c r="K1051" s="32"/>
      <c r="L1051" s="30"/>
    </row>
    <row r="1052" spans="4:12" s="1" customFormat="1">
      <c r="D1052" s="1" t="str">
        <f t="shared" si="34"/>
        <v/>
      </c>
      <c r="E1052" s="26"/>
      <c r="K1052" s="32"/>
      <c r="L1052" s="30"/>
    </row>
    <row r="1053" spans="4:12" s="1" customFormat="1">
      <c r="D1053" s="1" t="str">
        <f t="shared" si="34"/>
        <v/>
      </c>
      <c r="E1053" s="26"/>
      <c r="K1053" s="32"/>
      <c r="L1053" s="30"/>
    </row>
    <row r="1054" spans="4:12" s="1" customFormat="1">
      <c r="D1054" s="1" t="str">
        <f t="shared" si="34"/>
        <v/>
      </c>
      <c r="E1054" s="26"/>
      <c r="K1054" s="32"/>
      <c r="L1054" s="30"/>
    </row>
    <row r="1055" spans="4:12" s="1" customFormat="1">
      <c r="D1055" s="1" t="str">
        <f t="shared" si="34"/>
        <v/>
      </c>
      <c r="E1055" s="26"/>
      <c r="K1055" s="32"/>
      <c r="L1055" s="30"/>
    </row>
    <row r="1056" spans="4:12" s="1" customFormat="1">
      <c r="D1056" s="1" t="str">
        <f t="shared" si="34"/>
        <v/>
      </c>
      <c r="E1056" s="26"/>
      <c r="K1056" s="32"/>
      <c r="L1056" s="30"/>
    </row>
    <row r="1057" spans="4:12" s="1" customFormat="1">
      <c r="D1057" s="1" t="str">
        <f t="shared" si="34"/>
        <v/>
      </c>
      <c r="E1057" s="26"/>
      <c r="K1057" s="32"/>
      <c r="L1057" s="30"/>
    </row>
    <row r="1058" spans="4:12" s="1" customFormat="1">
      <c r="D1058" s="1" t="str">
        <f t="shared" si="34"/>
        <v/>
      </c>
      <c r="E1058" s="26"/>
      <c r="K1058" s="32"/>
      <c r="L1058" s="30"/>
    </row>
    <row r="1059" spans="4:12" s="1" customFormat="1">
      <c r="D1059" s="1" t="str">
        <f t="shared" si="34"/>
        <v/>
      </c>
      <c r="E1059" s="26"/>
      <c r="K1059" s="32"/>
      <c r="L1059" s="30"/>
    </row>
    <row r="1060" spans="4:12" s="1" customFormat="1">
      <c r="D1060" s="1" t="str">
        <f t="shared" si="34"/>
        <v/>
      </c>
      <c r="E1060" s="26"/>
      <c r="K1060" s="32"/>
      <c r="L1060" s="30"/>
    </row>
    <row r="1061" spans="4:12" s="1" customFormat="1">
      <c r="D1061" s="1" t="str">
        <f t="shared" si="34"/>
        <v/>
      </c>
      <c r="E1061" s="26"/>
      <c r="K1061" s="32"/>
      <c r="L1061" s="30"/>
    </row>
    <row r="1062" spans="4:12" s="1" customFormat="1">
      <c r="D1062" s="1" t="str">
        <f t="shared" si="34"/>
        <v/>
      </c>
      <c r="E1062" s="26"/>
      <c r="K1062" s="32"/>
      <c r="L1062" s="30"/>
    </row>
    <row r="1063" spans="4:12" s="1" customFormat="1">
      <c r="D1063" s="1" t="str">
        <f t="shared" si="34"/>
        <v/>
      </c>
      <c r="E1063" s="26"/>
      <c r="K1063" s="32"/>
      <c r="L1063" s="30"/>
    </row>
    <row r="1064" spans="4:12" s="1" customFormat="1">
      <c r="D1064" s="1" t="str">
        <f t="shared" si="34"/>
        <v/>
      </c>
      <c r="E1064" s="26"/>
      <c r="K1064" s="32"/>
      <c r="L1064" s="30"/>
    </row>
    <row r="1065" spans="4:12" s="1" customFormat="1">
      <c r="D1065" s="1" t="str">
        <f t="shared" si="34"/>
        <v/>
      </c>
      <c r="E1065" s="26"/>
      <c r="K1065" s="32"/>
      <c r="L1065" s="30"/>
    </row>
    <row r="1066" spans="4:12" s="1" customFormat="1">
      <c r="D1066" s="1" t="str">
        <f t="shared" si="34"/>
        <v/>
      </c>
      <c r="E1066" s="26"/>
      <c r="K1066" s="32"/>
      <c r="L1066" s="30"/>
    </row>
    <row r="1067" spans="4:12" s="1" customFormat="1">
      <c r="D1067" s="1" t="str">
        <f t="shared" si="34"/>
        <v/>
      </c>
      <c r="E1067" s="26"/>
      <c r="K1067" s="32"/>
      <c r="L1067" s="30"/>
    </row>
    <row r="1068" spans="4:12" s="1" customFormat="1">
      <c r="D1068" s="1" t="str">
        <f t="shared" si="34"/>
        <v/>
      </c>
      <c r="E1068" s="26"/>
      <c r="K1068" s="32"/>
      <c r="L1068" s="30"/>
    </row>
    <row r="1069" spans="4:12" s="1" customFormat="1">
      <c r="D1069" s="1" t="str">
        <f t="shared" si="34"/>
        <v/>
      </c>
      <c r="E1069" s="26"/>
      <c r="K1069" s="32"/>
      <c r="L1069" s="30"/>
    </row>
    <row r="1070" spans="4:12" s="1" customFormat="1">
      <c r="D1070" s="1" t="str">
        <f t="shared" si="34"/>
        <v/>
      </c>
      <c r="E1070" s="26"/>
      <c r="K1070" s="32"/>
      <c r="L1070" s="30"/>
    </row>
    <row r="1071" spans="4:12" s="1" customFormat="1">
      <c r="D1071" s="1" t="str">
        <f t="shared" si="34"/>
        <v/>
      </c>
      <c r="E1071" s="26"/>
      <c r="K1071" s="32"/>
      <c r="L1071" s="30"/>
    </row>
    <row r="1072" spans="4:12" s="1" customFormat="1">
      <c r="D1072" s="1" t="str">
        <f t="shared" si="34"/>
        <v/>
      </c>
      <c r="E1072" s="26"/>
      <c r="K1072" s="32"/>
      <c r="L1072" s="30"/>
    </row>
    <row r="1073" spans="4:12" s="1" customFormat="1">
      <c r="D1073" s="1" t="str">
        <f t="shared" si="34"/>
        <v/>
      </c>
      <c r="E1073" s="26"/>
      <c r="K1073" s="32"/>
      <c r="L1073" s="30"/>
    </row>
    <row r="1074" spans="4:12" s="1" customFormat="1">
      <c r="D1074" s="1" t="str">
        <f t="shared" si="34"/>
        <v/>
      </c>
      <c r="E1074" s="26"/>
      <c r="K1074" s="32"/>
      <c r="L1074" s="30"/>
    </row>
    <row r="1075" spans="4:12" s="1" customFormat="1">
      <c r="D1075" s="1" t="str">
        <f t="shared" si="34"/>
        <v/>
      </c>
      <c r="E1075" s="26"/>
      <c r="K1075" s="32"/>
      <c r="L1075" s="30"/>
    </row>
    <row r="1076" spans="4:12" s="1" customFormat="1">
      <c r="D1076" s="1" t="str">
        <f t="shared" si="34"/>
        <v/>
      </c>
      <c r="E1076" s="26"/>
      <c r="K1076" s="32"/>
      <c r="L1076" s="30"/>
    </row>
    <row r="1077" spans="4:12" s="1" customFormat="1">
      <c r="D1077" s="1" t="str">
        <f t="shared" si="34"/>
        <v/>
      </c>
      <c r="E1077" s="26"/>
      <c r="K1077" s="32"/>
      <c r="L1077" s="30"/>
    </row>
    <row r="1078" spans="4:12" s="1" customFormat="1">
      <c r="D1078" s="1" t="str">
        <f t="shared" si="34"/>
        <v/>
      </c>
      <c r="E1078" s="26"/>
      <c r="K1078" s="32"/>
      <c r="L1078" s="30"/>
    </row>
    <row r="1079" spans="4:12" s="1" customFormat="1">
      <c r="D1079" s="1" t="str">
        <f t="shared" si="34"/>
        <v/>
      </c>
      <c r="E1079" s="26"/>
      <c r="K1079" s="32"/>
      <c r="L1079" s="30"/>
    </row>
    <row r="1080" spans="4:12" s="1" customFormat="1">
      <c r="D1080" s="1" t="str">
        <f t="shared" si="34"/>
        <v/>
      </c>
      <c r="E1080" s="26"/>
      <c r="K1080" s="32"/>
      <c r="L1080" s="30"/>
    </row>
    <row r="1081" spans="4:12" s="1" customFormat="1">
      <c r="D1081" s="1" t="str">
        <f t="shared" si="34"/>
        <v/>
      </c>
      <c r="E1081" s="26"/>
      <c r="K1081" s="32"/>
      <c r="L1081" s="30"/>
    </row>
    <row r="1082" spans="4:12" s="1" customFormat="1">
      <c r="D1082" s="1" t="str">
        <f t="shared" si="34"/>
        <v/>
      </c>
      <c r="E1082" s="26"/>
      <c r="K1082" s="32"/>
      <c r="L1082" s="30"/>
    </row>
    <row r="1083" spans="4:12" s="1" customFormat="1">
      <c r="D1083" s="1" t="str">
        <f t="shared" si="34"/>
        <v/>
      </c>
      <c r="E1083" s="26"/>
      <c r="K1083" s="32"/>
      <c r="L1083" s="30"/>
    </row>
    <row r="1084" spans="4:12" s="1" customFormat="1">
      <c r="D1084" s="1" t="str">
        <f t="shared" si="34"/>
        <v/>
      </c>
      <c r="E1084" s="26"/>
      <c r="K1084" s="32"/>
      <c r="L1084" s="30"/>
    </row>
    <row r="1085" spans="4:12" s="1" customFormat="1">
      <c r="D1085" s="1" t="str">
        <f t="shared" si="34"/>
        <v/>
      </c>
      <c r="E1085" s="26"/>
      <c r="K1085" s="32"/>
      <c r="L1085" s="30"/>
    </row>
    <row r="1086" spans="4:12" s="1" customFormat="1">
      <c r="D1086" s="1" t="str">
        <f t="shared" si="34"/>
        <v/>
      </c>
      <c r="E1086" s="26"/>
      <c r="K1086" s="32"/>
      <c r="L1086" s="30"/>
    </row>
    <row r="1087" spans="4:12" s="1" customFormat="1">
      <c r="D1087" s="1" t="str">
        <f t="shared" si="34"/>
        <v/>
      </c>
      <c r="E1087" s="26"/>
      <c r="K1087" s="32"/>
      <c r="L1087" s="30"/>
    </row>
    <row r="1088" spans="4:12" s="1" customFormat="1">
      <c r="D1088" s="1" t="str">
        <f t="shared" si="34"/>
        <v/>
      </c>
      <c r="E1088" s="26"/>
      <c r="K1088" s="32"/>
      <c r="L1088" s="30"/>
    </row>
    <row r="1089" spans="4:12" s="1" customFormat="1">
      <c r="D1089" s="1" t="str">
        <f t="shared" si="34"/>
        <v/>
      </c>
      <c r="E1089" s="26"/>
      <c r="K1089" s="32"/>
      <c r="L1089" s="30"/>
    </row>
    <row r="1090" spans="4:12" s="1" customFormat="1">
      <c r="D1090" s="1" t="str">
        <f t="shared" si="34"/>
        <v/>
      </c>
      <c r="E1090" s="26"/>
      <c r="K1090" s="32"/>
      <c r="L1090" s="30"/>
    </row>
    <row r="1091" spans="4:12" s="1" customFormat="1">
      <c r="D1091" s="1" t="str">
        <f t="shared" si="34"/>
        <v/>
      </c>
      <c r="E1091" s="26"/>
      <c r="K1091" s="32"/>
      <c r="L1091" s="30"/>
    </row>
    <row r="1092" spans="4:12" s="1" customFormat="1">
      <c r="D1092" s="1" t="str">
        <f t="shared" si="34"/>
        <v/>
      </c>
      <c r="E1092" s="26"/>
      <c r="K1092" s="32"/>
      <c r="L1092" s="30"/>
    </row>
    <row r="1093" spans="4:12" s="1" customFormat="1">
      <c r="D1093" s="1" t="str">
        <f t="shared" si="34"/>
        <v/>
      </c>
      <c r="E1093" s="26"/>
      <c r="K1093" s="32"/>
      <c r="L1093" s="30"/>
    </row>
    <row r="1094" spans="4:12" s="1" customFormat="1">
      <c r="D1094" s="1" t="str">
        <f t="shared" si="34"/>
        <v/>
      </c>
      <c r="E1094" s="26"/>
      <c r="K1094" s="32"/>
      <c r="L1094" s="30"/>
    </row>
    <row r="1095" spans="4:12" s="1" customFormat="1">
      <c r="D1095" s="1" t="str">
        <f t="shared" si="34"/>
        <v/>
      </c>
      <c r="E1095" s="26"/>
      <c r="K1095" s="32"/>
      <c r="L1095" s="30"/>
    </row>
    <row r="1096" spans="4:12" s="1" customFormat="1">
      <c r="D1096" s="1" t="str">
        <f t="shared" ref="D1096:D1159" si="35">IF(F1096&lt;&gt;"",RIGHT(F1096, LEN(F1096) - FIND(" - ", F1096) - 2),"")</f>
        <v/>
      </c>
      <c r="E1096" s="26"/>
      <c r="K1096" s="32"/>
      <c r="L1096" s="30"/>
    </row>
    <row r="1097" spans="4:12" s="1" customFormat="1">
      <c r="D1097" s="1" t="str">
        <f t="shared" si="35"/>
        <v/>
      </c>
      <c r="E1097" s="26"/>
      <c r="K1097" s="32"/>
      <c r="L1097" s="30"/>
    </row>
    <row r="1098" spans="4:12" s="1" customFormat="1">
      <c r="D1098" s="1" t="str">
        <f t="shared" si="35"/>
        <v/>
      </c>
      <c r="E1098" s="26"/>
      <c r="K1098" s="32"/>
      <c r="L1098" s="30"/>
    </row>
    <row r="1099" spans="4:12" s="1" customFormat="1">
      <c r="D1099" s="1" t="str">
        <f t="shared" si="35"/>
        <v/>
      </c>
      <c r="E1099" s="26"/>
      <c r="K1099" s="32"/>
      <c r="L1099" s="30"/>
    </row>
    <row r="1100" spans="4:12" s="1" customFormat="1">
      <c r="D1100" s="1" t="str">
        <f t="shared" si="35"/>
        <v/>
      </c>
      <c r="E1100" s="26"/>
      <c r="K1100" s="32"/>
      <c r="L1100" s="30"/>
    </row>
    <row r="1101" spans="4:12" s="1" customFormat="1">
      <c r="D1101" s="1" t="str">
        <f t="shared" si="35"/>
        <v/>
      </c>
      <c r="E1101" s="26"/>
      <c r="K1101" s="32"/>
      <c r="L1101" s="30"/>
    </row>
    <row r="1102" spans="4:12" s="1" customFormat="1">
      <c r="D1102" s="1" t="str">
        <f t="shared" si="35"/>
        <v/>
      </c>
      <c r="E1102" s="26"/>
      <c r="K1102" s="32"/>
      <c r="L1102" s="30"/>
    </row>
    <row r="1103" spans="4:12" s="1" customFormat="1">
      <c r="D1103" s="1" t="str">
        <f t="shared" si="35"/>
        <v/>
      </c>
      <c r="E1103" s="26"/>
      <c r="K1103" s="32"/>
      <c r="L1103" s="30"/>
    </row>
    <row r="1104" spans="4:12" s="1" customFormat="1">
      <c r="D1104" s="1" t="str">
        <f t="shared" si="35"/>
        <v/>
      </c>
      <c r="E1104" s="26"/>
      <c r="K1104" s="32"/>
      <c r="L1104" s="30"/>
    </row>
    <row r="1105" spans="4:12" s="1" customFormat="1">
      <c r="D1105" s="1" t="str">
        <f t="shared" si="35"/>
        <v/>
      </c>
      <c r="E1105" s="26"/>
      <c r="K1105" s="32"/>
      <c r="L1105" s="30"/>
    </row>
    <row r="1106" spans="4:12" s="1" customFormat="1">
      <c r="D1106" s="1" t="str">
        <f t="shared" si="35"/>
        <v/>
      </c>
      <c r="E1106" s="26"/>
      <c r="K1106" s="32"/>
      <c r="L1106" s="30"/>
    </row>
    <row r="1107" spans="4:12" s="1" customFormat="1">
      <c r="D1107" s="1" t="str">
        <f t="shared" si="35"/>
        <v/>
      </c>
      <c r="E1107" s="26"/>
      <c r="K1107" s="32"/>
      <c r="L1107" s="30"/>
    </row>
    <row r="1108" spans="4:12" s="1" customFormat="1">
      <c r="D1108" s="1" t="str">
        <f t="shared" si="35"/>
        <v/>
      </c>
      <c r="E1108" s="26"/>
      <c r="K1108" s="32"/>
      <c r="L1108" s="30"/>
    </row>
    <row r="1109" spans="4:12" s="1" customFormat="1">
      <c r="D1109" s="1" t="str">
        <f t="shared" si="35"/>
        <v/>
      </c>
      <c r="E1109" s="26"/>
      <c r="K1109" s="32"/>
      <c r="L1109" s="30"/>
    </row>
    <row r="1110" spans="4:12" s="1" customFormat="1">
      <c r="D1110" s="1" t="str">
        <f t="shared" si="35"/>
        <v/>
      </c>
      <c r="E1110" s="26"/>
      <c r="K1110" s="32"/>
      <c r="L1110" s="30"/>
    </row>
    <row r="1111" spans="4:12" s="1" customFormat="1">
      <c r="D1111" s="1" t="str">
        <f t="shared" si="35"/>
        <v/>
      </c>
      <c r="E1111" s="26"/>
      <c r="K1111" s="32"/>
      <c r="L1111" s="30"/>
    </row>
    <row r="1112" spans="4:12" s="1" customFormat="1">
      <c r="D1112" s="1" t="str">
        <f t="shared" si="35"/>
        <v/>
      </c>
      <c r="E1112" s="26"/>
      <c r="K1112" s="32"/>
      <c r="L1112" s="30"/>
    </row>
    <row r="1113" spans="4:12" s="1" customFormat="1">
      <c r="D1113" s="1" t="str">
        <f t="shared" si="35"/>
        <v/>
      </c>
      <c r="E1113" s="26"/>
      <c r="K1113" s="32"/>
      <c r="L1113" s="30"/>
    </row>
    <row r="1114" spans="4:12" s="1" customFormat="1">
      <c r="D1114" s="1" t="str">
        <f t="shared" si="35"/>
        <v/>
      </c>
      <c r="E1114" s="26"/>
      <c r="K1114" s="32"/>
      <c r="L1114" s="30"/>
    </row>
    <row r="1115" spans="4:12" s="1" customFormat="1">
      <c r="D1115" s="1" t="str">
        <f t="shared" si="35"/>
        <v/>
      </c>
      <c r="E1115" s="26"/>
      <c r="K1115" s="32"/>
      <c r="L1115" s="30"/>
    </row>
    <row r="1116" spans="4:12" s="1" customFormat="1">
      <c r="D1116" s="1" t="str">
        <f t="shared" si="35"/>
        <v/>
      </c>
      <c r="E1116" s="26"/>
      <c r="K1116" s="32"/>
      <c r="L1116" s="30"/>
    </row>
    <row r="1117" spans="4:12" s="1" customFormat="1">
      <c r="D1117" s="1" t="str">
        <f t="shared" si="35"/>
        <v/>
      </c>
      <c r="E1117" s="26"/>
      <c r="K1117" s="32"/>
      <c r="L1117" s="30"/>
    </row>
    <row r="1118" spans="4:12" s="1" customFormat="1">
      <c r="D1118" s="1" t="str">
        <f t="shared" si="35"/>
        <v/>
      </c>
      <c r="E1118" s="26"/>
      <c r="K1118" s="32"/>
      <c r="L1118" s="30"/>
    </row>
    <row r="1119" spans="4:12" s="1" customFormat="1">
      <c r="D1119" s="1" t="str">
        <f t="shared" si="35"/>
        <v/>
      </c>
      <c r="E1119" s="26"/>
      <c r="K1119" s="32"/>
      <c r="L1119" s="30"/>
    </row>
    <row r="1120" spans="4:12" s="1" customFormat="1">
      <c r="D1120" s="1" t="str">
        <f t="shared" si="35"/>
        <v/>
      </c>
      <c r="E1120" s="26"/>
      <c r="K1120" s="32"/>
      <c r="L1120" s="30"/>
    </row>
    <row r="1121" spans="4:12" s="1" customFormat="1">
      <c r="D1121" s="1" t="str">
        <f t="shared" si="35"/>
        <v/>
      </c>
      <c r="E1121" s="26"/>
      <c r="K1121" s="32"/>
      <c r="L1121" s="30"/>
    </row>
    <row r="1122" spans="4:12" s="1" customFormat="1">
      <c r="D1122" s="1" t="str">
        <f t="shared" si="35"/>
        <v/>
      </c>
      <c r="E1122" s="26"/>
      <c r="K1122" s="32"/>
      <c r="L1122" s="30"/>
    </row>
    <row r="1123" spans="4:12" s="1" customFormat="1">
      <c r="D1123" s="1" t="str">
        <f t="shared" si="35"/>
        <v/>
      </c>
      <c r="E1123" s="26"/>
      <c r="K1123" s="32"/>
      <c r="L1123" s="30"/>
    </row>
    <row r="1124" spans="4:12" s="1" customFormat="1">
      <c r="D1124" s="1" t="str">
        <f t="shared" si="35"/>
        <v/>
      </c>
      <c r="E1124" s="26"/>
      <c r="K1124" s="32"/>
      <c r="L1124" s="30"/>
    </row>
    <row r="1125" spans="4:12" s="1" customFormat="1">
      <c r="D1125" s="1" t="str">
        <f t="shared" si="35"/>
        <v/>
      </c>
      <c r="E1125" s="26"/>
      <c r="K1125" s="32"/>
      <c r="L1125" s="30"/>
    </row>
    <row r="1126" spans="4:12" s="1" customFormat="1">
      <c r="D1126" s="1" t="str">
        <f t="shared" si="35"/>
        <v/>
      </c>
      <c r="E1126" s="26"/>
      <c r="K1126" s="32"/>
      <c r="L1126" s="30"/>
    </row>
    <row r="1127" spans="4:12" s="1" customFormat="1">
      <c r="D1127" s="1" t="str">
        <f t="shared" si="35"/>
        <v/>
      </c>
      <c r="E1127" s="26"/>
      <c r="K1127" s="32"/>
      <c r="L1127" s="30"/>
    </row>
    <row r="1128" spans="4:12" s="1" customFormat="1">
      <c r="D1128" s="1" t="str">
        <f t="shared" si="35"/>
        <v/>
      </c>
      <c r="E1128" s="26"/>
      <c r="K1128" s="32"/>
      <c r="L1128" s="30"/>
    </row>
    <row r="1129" spans="4:12" s="1" customFormat="1">
      <c r="D1129" s="1" t="str">
        <f t="shared" si="35"/>
        <v/>
      </c>
      <c r="E1129" s="26"/>
      <c r="K1129" s="32"/>
      <c r="L1129" s="30"/>
    </row>
    <row r="1130" spans="4:12" s="1" customFormat="1">
      <c r="D1130" s="1" t="str">
        <f t="shared" si="35"/>
        <v/>
      </c>
      <c r="E1130" s="26"/>
      <c r="K1130" s="32"/>
      <c r="L1130" s="30"/>
    </row>
    <row r="1131" spans="4:12" s="1" customFormat="1">
      <c r="D1131" s="1" t="str">
        <f t="shared" si="35"/>
        <v/>
      </c>
      <c r="E1131" s="26"/>
      <c r="K1131" s="32"/>
      <c r="L1131" s="30"/>
    </row>
    <row r="1132" spans="4:12" s="1" customFormat="1">
      <c r="D1132" s="1" t="str">
        <f t="shared" si="35"/>
        <v/>
      </c>
      <c r="E1132" s="26"/>
      <c r="K1132" s="32"/>
      <c r="L1132" s="30"/>
    </row>
    <row r="1133" spans="4:12" s="1" customFormat="1">
      <c r="D1133" s="1" t="str">
        <f t="shared" si="35"/>
        <v/>
      </c>
      <c r="E1133" s="26"/>
      <c r="K1133" s="32"/>
      <c r="L1133" s="30"/>
    </row>
    <row r="1134" spans="4:12" s="1" customFormat="1">
      <c r="D1134" s="1" t="str">
        <f t="shared" si="35"/>
        <v/>
      </c>
      <c r="E1134" s="26"/>
      <c r="K1134" s="32"/>
      <c r="L1134" s="30"/>
    </row>
    <row r="1135" spans="4:12" s="1" customFormat="1">
      <c r="D1135" s="1" t="str">
        <f t="shared" si="35"/>
        <v/>
      </c>
      <c r="E1135" s="26"/>
      <c r="K1135" s="32"/>
      <c r="L1135" s="30"/>
    </row>
    <row r="1136" spans="4:12" s="1" customFormat="1">
      <c r="D1136" s="1" t="str">
        <f t="shared" si="35"/>
        <v/>
      </c>
      <c r="E1136" s="26"/>
      <c r="K1136" s="32"/>
      <c r="L1136" s="30"/>
    </row>
    <row r="1137" spans="4:12" s="1" customFormat="1">
      <c r="D1137" s="1" t="str">
        <f t="shared" si="35"/>
        <v/>
      </c>
      <c r="E1137" s="26"/>
      <c r="K1137" s="32"/>
      <c r="L1137" s="30"/>
    </row>
    <row r="1138" spans="4:12" s="1" customFormat="1">
      <c r="D1138" s="1" t="str">
        <f t="shared" si="35"/>
        <v/>
      </c>
      <c r="E1138" s="26"/>
      <c r="K1138" s="32"/>
      <c r="L1138" s="30"/>
    </row>
    <row r="1139" spans="4:12" s="1" customFormat="1">
      <c r="D1139" s="1" t="str">
        <f t="shared" si="35"/>
        <v/>
      </c>
      <c r="E1139" s="26"/>
      <c r="K1139" s="32"/>
      <c r="L1139" s="30"/>
    </row>
    <row r="1140" spans="4:12" s="1" customFormat="1">
      <c r="D1140" s="1" t="str">
        <f t="shared" si="35"/>
        <v/>
      </c>
      <c r="E1140" s="26"/>
      <c r="K1140" s="32"/>
      <c r="L1140" s="30"/>
    </row>
    <row r="1141" spans="4:12" s="1" customFormat="1">
      <c r="D1141" s="1" t="str">
        <f t="shared" si="35"/>
        <v/>
      </c>
      <c r="E1141" s="26"/>
      <c r="K1141" s="32"/>
      <c r="L1141" s="30"/>
    </row>
    <row r="1142" spans="4:12" s="1" customFormat="1">
      <c r="D1142" s="1" t="str">
        <f t="shared" si="35"/>
        <v/>
      </c>
      <c r="E1142" s="26"/>
      <c r="K1142" s="32"/>
      <c r="L1142" s="30"/>
    </row>
    <row r="1143" spans="4:12" s="1" customFormat="1">
      <c r="D1143" s="1" t="str">
        <f t="shared" si="35"/>
        <v/>
      </c>
      <c r="E1143" s="26"/>
      <c r="K1143" s="32"/>
      <c r="L1143" s="30"/>
    </row>
    <row r="1144" spans="4:12" s="1" customFormat="1">
      <c r="D1144" s="1" t="str">
        <f t="shared" si="35"/>
        <v/>
      </c>
      <c r="E1144" s="26"/>
      <c r="K1144" s="32"/>
      <c r="L1144" s="30"/>
    </row>
    <row r="1145" spans="4:12" s="1" customFormat="1">
      <c r="D1145" s="1" t="str">
        <f t="shared" si="35"/>
        <v/>
      </c>
      <c r="E1145" s="26"/>
      <c r="K1145" s="32"/>
      <c r="L1145" s="30"/>
    </row>
    <row r="1146" spans="4:12" s="1" customFormat="1">
      <c r="D1146" s="1" t="str">
        <f t="shared" si="35"/>
        <v/>
      </c>
      <c r="E1146" s="26"/>
      <c r="K1146" s="32"/>
      <c r="L1146" s="30"/>
    </row>
    <row r="1147" spans="4:12" s="1" customFormat="1">
      <c r="D1147" s="1" t="str">
        <f t="shared" si="35"/>
        <v/>
      </c>
      <c r="E1147" s="26"/>
      <c r="K1147" s="32"/>
      <c r="L1147" s="30"/>
    </row>
    <row r="1148" spans="4:12" s="1" customFormat="1">
      <c r="D1148" s="1" t="str">
        <f t="shared" si="35"/>
        <v/>
      </c>
      <c r="E1148" s="26"/>
      <c r="K1148" s="32"/>
      <c r="L1148" s="30"/>
    </row>
    <row r="1149" spans="4:12" s="1" customFormat="1">
      <c r="D1149" s="1" t="str">
        <f t="shared" si="35"/>
        <v/>
      </c>
      <c r="E1149" s="26"/>
      <c r="K1149" s="32"/>
      <c r="L1149" s="30"/>
    </row>
    <row r="1150" spans="4:12" s="1" customFormat="1">
      <c r="D1150" s="1" t="str">
        <f t="shared" si="35"/>
        <v/>
      </c>
      <c r="E1150" s="26"/>
      <c r="K1150" s="32"/>
      <c r="L1150" s="30"/>
    </row>
    <row r="1151" spans="4:12" s="1" customFormat="1">
      <c r="D1151" s="1" t="str">
        <f t="shared" si="35"/>
        <v/>
      </c>
      <c r="E1151" s="26"/>
      <c r="K1151" s="32"/>
      <c r="L1151" s="30"/>
    </row>
    <row r="1152" spans="4:12" s="1" customFormat="1">
      <c r="D1152" s="1" t="str">
        <f t="shared" si="35"/>
        <v/>
      </c>
      <c r="E1152" s="26"/>
      <c r="K1152" s="32"/>
      <c r="L1152" s="30"/>
    </row>
    <row r="1153" spans="4:12" s="1" customFormat="1">
      <c r="D1153" s="1" t="str">
        <f t="shared" si="35"/>
        <v/>
      </c>
      <c r="E1153" s="26"/>
      <c r="K1153" s="32"/>
      <c r="L1153" s="30"/>
    </row>
    <row r="1154" spans="4:12" s="1" customFormat="1">
      <c r="D1154" s="1" t="str">
        <f t="shared" si="35"/>
        <v/>
      </c>
      <c r="E1154" s="26"/>
      <c r="K1154" s="32"/>
      <c r="L1154" s="30"/>
    </row>
    <row r="1155" spans="4:12" s="1" customFormat="1">
      <c r="D1155" s="1" t="str">
        <f t="shared" si="35"/>
        <v/>
      </c>
      <c r="E1155" s="26"/>
      <c r="K1155" s="32"/>
      <c r="L1155" s="30"/>
    </row>
    <row r="1156" spans="4:12" s="1" customFormat="1">
      <c r="D1156" s="1" t="str">
        <f t="shared" si="35"/>
        <v/>
      </c>
      <c r="E1156" s="26"/>
      <c r="K1156" s="32"/>
      <c r="L1156" s="30"/>
    </row>
    <row r="1157" spans="4:12" s="1" customFormat="1">
      <c r="D1157" s="1" t="str">
        <f t="shared" si="35"/>
        <v/>
      </c>
      <c r="E1157" s="26"/>
      <c r="K1157" s="32"/>
      <c r="L1157" s="30"/>
    </row>
    <row r="1158" spans="4:12" s="1" customFormat="1">
      <c r="D1158" s="1" t="str">
        <f t="shared" si="35"/>
        <v/>
      </c>
      <c r="E1158" s="26"/>
      <c r="K1158" s="32"/>
      <c r="L1158" s="30"/>
    </row>
    <row r="1159" spans="4:12" s="1" customFormat="1">
      <c r="D1159" s="1" t="str">
        <f t="shared" si="35"/>
        <v/>
      </c>
      <c r="E1159" s="26"/>
      <c r="K1159" s="32"/>
      <c r="L1159" s="30"/>
    </row>
    <row r="1160" spans="4:12" s="1" customFormat="1">
      <c r="D1160" s="1" t="str">
        <f t="shared" ref="D1160:D1223" si="36">IF(F1160&lt;&gt;"",RIGHT(F1160, LEN(F1160) - FIND(" - ", F1160) - 2),"")</f>
        <v/>
      </c>
      <c r="E1160" s="26"/>
      <c r="K1160" s="32"/>
      <c r="L1160" s="30"/>
    </row>
    <row r="1161" spans="4:12" s="1" customFormat="1">
      <c r="D1161" s="1" t="str">
        <f t="shared" si="36"/>
        <v/>
      </c>
      <c r="E1161" s="26"/>
      <c r="K1161" s="32"/>
      <c r="L1161" s="30"/>
    </row>
    <row r="1162" spans="4:12" s="1" customFormat="1">
      <c r="D1162" s="1" t="str">
        <f t="shared" si="36"/>
        <v/>
      </c>
      <c r="E1162" s="26"/>
      <c r="K1162" s="32"/>
      <c r="L1162" s="30"/>
    </row>
    <row r="1163" spans="4:12" s="1" customFormat="1">
      <c r="D1163" s="1" t="str">
        <f t="shared" si="36"/>
        <v/>
      </c>
      <c r="E1163" s="26"/>
      <c r="K1163" s="32"/>
      <c r="L1163" s="30"/>
    </row>
    <row r="1164" spans="4:12" s="1" customFormat="1">
      <c r="D1164" s="1" t="str">
        <f t="shared" si="36"/>
        <v/>
      </c>
      <c r="E1164" s="26"/>
      <c r="K1164" s="32"/>
      <c r="L1164" s="30"/>
    </row>
    <row r="1165" spans="4:12" s="1" customFormat="1">
      <c r="D1165" s="1" t="str">
        <f t="shared" si="36"/>
        <v/>
      </c>
      <c r="E1165" s="26"/>
      <c r="K1165" s="32"/>
      <c r="L1165" s="30"/>
    </row>
    <row r="1166" spans="4:12" s="1" customFormat="1">
      <c r="D1166" s="1" t="str">
        <f t="shared" si="36"/>
        <v/>
      </c>
      <c r="E1166" s="26"/>
      <c r="K1166" s="32"/>
      <c r="L1166" s="30"/>
    </row>
    <row r="1167" spans="4:12" s="1" customFormat="1">
      <c r="D1167" s="1" t="str">
        <f t="shared" si="36"/>
        <v/>
      </c>
      <c r="E1167" s="26"/>
      <c r="K1167" s="32"/>
      <c r="L1167" s="30"/>
    </row>
    <row r="1168" spans="4:12" s="1" customFormat="1">
      <c r="D1168" s="1" t="str">
        <f t="shared" si="36"/>
        <v/>
      </c>
      <c r="E1168" s="26"/>
      <c r="K1168" s="32"/>
      <c r="L1168" s="30"/>
    </row>
    <row r="1169" spans="4:12" s="1" customFormat="1">
      <c r="D1169" s="1" t="str">
        <f t="shared" si="36"/>
        <v/>
      </c>
      <c r="E1169" s="26"/>
      <c r="K1169" s="32"/>
      <c r="L1169" s="30"/>
    </row>
    <row r="1170" spans="4:12" s="1" customFormat="1">
      <c r="D1170" s="1" t="str">
        <f t="shared" si="36"/>
        <v/>
      </c>
      <c r="E1170" s="26"/>
      <c r="K1170" s="32"/>
      <c r="L1170" s="30"/>
    </row>
    <row r="1171" spans="4:12" s="1" customFormat="1">
      <c r="D1171" s="1" t="str">
        <f t="shared" si="36"/>
        <v/>
      </c>
      <c r="E1171" s="26"/>
      <c r="K1171" s="32"/>
      <c r="L1171" s="30"/>
    </row>
    <row r="1172" spans="4:12" s="1" customFormat="1">
      <c r="D1172" s="1" t="str">
        <f t="shared" si="36"/>
        <v/>
      </c>
      <c r="E1172" s="26"/>
      <c r="K1172" s="32"/>
      <c r="L1172" s="30"/>
    </row>
    <row r="1173" spans="4:12" s="1" customFormat="1">
      <c r="D1173" s="1" t="str">
        <f t="shared" si="36"/>
        <v/>
      </c>
      <c r="E1173" s="26"/>
      <c r="K1173" s="32"/>
      <c r="L1173" s="30"/>
    </row>
    <row r="1174" spans="4:12" s="1" customFormat="1">
      <c r="D1174" s="1" t="str">
        <f t="shared" si="36"/>
        <v/>
      </c>
      <c r="E1174" s="26"/>
      <c r="K1174" s="32"/>
      <c r="L1174" s="30"/>
    </row>
    <row r="1175" spans="4:12" s="1" customFormat="1">
      <c r="D1175" s="1" t="str">
        <f t="shared" si="36"/>
        <v/>
      </c>
      <c r="E1175" s="26"/>
      <c r="K1175" s="32"/>
      <c r="L1175" s="30"/>
    </row>
    <row r="1176" spans="4:12" s="1" customFormat="1">
      <c r="D1176" s="1" t="str">
        <f t="shared" si="36"/>
        <v/>
      </c>
      <c r="E1176" s="26"/>
      <c r="K1176" s="32"/>
      <c r="L1176" s="30"/>
    </row>
    <row r="1177" spans="4:12" s="1" customFormat="1">
      <c r="D1177" s="1" t="str">
        <f t="shared" si="36"/>
        <v/>
      </c>
      <c r="E1177" s="26"/>
      <c r="K1177" s="32"/>
      <c r="L1177" s="30"/>
    </row>
    <row r="1178" spans="4:12" s="1" customFormat="1">
      <c r="D1178" s="1" t="str">
        <f t="shared" si="36"/>
        <v/>
      </c>
      <c r="E1178" s="26"/>
      <c r="K1178" s="32"/>
      <c r="L1178" s="30"/>
    </row>
    <row r="1179" spans="4:12" s="1" customFormat="1">
      <c r="D1179" s="1" t="str">
        <f t="shared" si="36"/>
        <v/>
      </c>
      <c r="E1179" s="26"/>
      <c r="K1179" s="32"/>
      <c r="L1179" s="30"/>
    </row>
    <row r="1180" spans="4:12" s="1" customFormat="1">
      <c r="D1180" s="1" t="str">
        <f t="shared" si="36"/>
        <v/>
      </c>
      <c r="E1180" s="26"/>
      <c r="K1180" s="32"/>
      <c r="L1180" s="30"/>
    </row>
    <row r="1181" spans="4:12" s="1" customFormat="1">
      <c r="D1181" s="1" t="str">
        <f t="shared" si="36"/>
        <v/>
      </c>
      <c r="E1181" s="26"/>
      <c r="K1181" s="32"/>
      <c r="L1181" s="30"/>
    </row>
    <row r="1182" spans="4:12" s="1" customFormat="1">
      <c r="D1182" s="1" t="str">
        <f t="shared" si="36"/>
        <v/>
      </c>
      <c r="E1182" s="26"/>
      <c r="K1182" s="32"/>
      <c r="L1182" s="30"/>
    </row>
    <row r="1183" spans="4:12" s="1" customFormat="1">
      <c r="D1183" s="1" t="str">
        <f t="shared" si="36"/>
        <v/>
      </c>
      <c r="E1183" s="26"/>
      <c r="K1183" s="32"/>
      <c r="L1183" s="30"/>
    </row>
    <row r="1184" spans="4:12" s="1" customFormat="1">
      <c r="D1184" s="1" t="str">
        <f t="shared" si="36"/>
        <v/>
      </c>
      <c r="E1184" s="26"/>
      <c r="K1184" s="32"/>
      <c r="L1184" s="30"/>
    </row>
    <row r="1185" spans="4:12" s="1" customFormat="1">
      <c r="D1185" s="1" t="str">
        <f t="shared" si="36"/>
        <v/>
      </c>
      <c r="E1185" s="26"/>
      <c r="K1185" s="32"/>
      <c r="L1185" s="30"/>
    </row>
    <row r="1186" spans="4:12" s="1" customFormat="1">
      <c r="D1186" s="1" t="str">
        <f t="shared" si="36"/>
        <v/>
      </c>
      <c r="E1186" s="26"/>
      <c r="K1186" s="32"/>
      <c r="L1186" s="30"/>
    </row>
    <row r="1187" spans="4:12" s="1" customFormat="1">
      <c r="D1187" s="1" t="str">
        <f t="shared" si="36"/>
        <v/>
      </c>
      <c r="E1187" s="26"/>
      <c r="K1187" s="32"/>
      <c r="L1187" s="30"/>
    </row>
    <row r="1188" spans="4:12" s="1" customFormat="1">
      <c r="D1188" s="1" t="str">
        <f t="shared" si="36"/>
        <v/>
      </c>
      <c r="E1188" s="26"/>
      <c r="K1188" s="32"/>
      <c r="L1188" s="30"/>
    </row>
    <row r="1189" spans="4:12" s="1" customFormat="1">
      <c r="D1189" s="1" t="str">
        <f t="shared" si="36"/>
        <v/>
      </c>
      <c r="E1189" s="26"/>
      <c r="K1189" s="32"/>
      <c r="L1189" s="30"/>
    </row>
    <row r="1190" spans="4:12" s="1" customFormat="1">
      <c r="D1190" s="1" t="str">
        <f t="shared" si="36"/>
        <v/>
      </c>
      <c r="E1190" s="26"/>
      <c r="K1190" s="32"/>
      <c r="L1190" s="30"/>
    </row>
    <row r="1191" spans="4:12" s="1" customFormat="1">
      <c r="D1191" s="1" t="str">
        <f t="shared" si="36"/>
        <v/>
      </c>
      <c r="E1191" s="26"/>
      <c r="K1191" s="32"/>
      <c r="L1191" s="30"/>
    </row>
    <row r="1192" spans="4:12" s="1" customFormat="1">
      <c r="D1192" s="1" t="str">
        <f t="shared" si="36"/>
        <v/>
      </c>
      <c r="E1192" s="26"/>
      <c r="K1192" s="32"/>
      <c r="L1192" s="30"/>
    </row>
    <row r="1193" spans="4:12" s="1" customFormat="1">
      <c r="D1193" s="1" t="str">
        <f t="shared" si="36"/>
        <v/>
      </c>
      <c r="E1193" s="26"/>
      <c r="K1193" s="32"/>
      <c r="L1193" s="30"/>
    </row>
    <row r="1194" spans="4:12" s="1" customFormat="1">
      <c r="D1194" s="1" t="str">
        <f t="shared" si="36"/>
        <v/>
      </c>
      <c r="E1194" s="26"/>
      <c r="K1194" s="32"/>
      <c r="L1194" s="30"/>
    </row>
    <row r="1195" spans="4:12" s="1" customFormat="1">
      <c r="D1195" s="1" t="str">
        <f t="shared" si="36"/>
        <v/>
      </c>
      <c r="E1195" s="26"/>
      <c r="K1195" s="32"/>
      <c r="L1195" s="30"/>
    </row>
    <row r="1196" spans="4:12" s="1" customFormat="1">
      <c r="D1196" s="1" t="str">
        <f t="shared" si="36"/>
        <v/>
      </c>
      <c r="E1196" s="26"/>
      <c r="K1196" s="32"/>
      <c r="L1196" s="30"/>
    </row>
    <row r="1197" spans="4:12" s="1" customFormat="1">
      <c r="D1197" s="1" t="str">
        <f t="shared" si="36"/>
        <v/>
      </c>
      <c r="E1197" s="26"/>
      <c r="K1197" s="32"/>
      <c r="L1197" s="30"/>
    </row>
    <row r="1198" spans="4:12" s="1" customFormat="1">
      <c r="D1198" s="1" t="str">
        <f t="shared" si="36"/>
        <v/>
      </c>
      <c r="E1198" s="26"/>
      <c r="K1198" s="32"/>
      <c r="L1198" s="30"/>
    </row>
    <row r="1199" spans="4:12" s="1" customFormat="1">
      <c r="D1199" s="1" t="str">
        <f t="shared" si="36"/>
        <v/>
      </c>
      <c r="E1199" s="26"/>
      <c r="K1199" s="32"/>
      <c r="L1199" s="30"/>
    </row>
    <row r="1200" spans="4:12" s="1" customFormat="1">
      <c r="D1200" s="1" t="str">
        <f t="shared" si="36"/>
        <v/>
      </c>
      <c r="E1200" s="26"/>
      <c r="K1200" s="32"/>
      <c r="L1200" s="30"/>
    </row>
    <row r="1201" spans="4:12" s="1" customFormat="1">
      <c r="D1201" s="1" t="str">
        <f t="shared" si="36"/>
        <v/>
      </c>
      <c r="E1201" s="26"/>
      <c r="K1201" s="32"/>
      <c r="L1201" s="30"/>
    </row>
    <row r="1202" spans="4:12" s="1" customFormat="1">
      <c r="D1202" s="1" t="str">
        <f t="shared" si="36"/>
        <v/>
      </c>
      <c r="E1202" s="26"/>
      <c r="K1202" s="32"/>
      <c r="L1202" s="30"/>
    </row>
    <row r="1203" spans="4:12" s="1" customFormat="1">
      <c r="D1203" s="1" t="str">
        <f t="shared" si="36"/>
        <v/>
      </c>
      <c r="E1203" s="26"/>
      <c r="K1203" s="32"/>
      <c r="L1203" s="30"/>
    </row>
    <row r="1204" spans="4:12" s="1" customFormat="1">
      <c r="D1204" s="1" t="str">
        <f t="shared" si="36"/>
        <v/>
      </c>
      <c r="E1204" s="26"/>
      <c r="K1204" s="32"/>
      <c r="L1204" s="30"/>
    </row>
    <row r="1205" spans="4:12" s="1" customFormat="1">
      <c r="D1205" s="1" t="str">
        <f t="shared" si="36"/>
        <v/>
      </c>
      <c r="E1205" s="26"/>
      <c r="K1205" s="32"/>
      <c r="L1205" s="30"/>
    </row>
    <row r="1206" spans="4:12" s="1" customFormat="1">
      <c r="D1206" s="1" t="str">
        <f t="shared" si="36"/>
        <v/>
      </c>
      <c r="E1206" s="26"/>
      <c r="K1206" s="32"/>
      <c r="L1206" s="30"/>
    </row>
    <row r="1207" spans="4:12" s="1" customFormat="1">
      <c r="D1207" s="1" t="str">
        <f t="shared" si="36"/>
        <v/>
      </c>
      <c r="E1207" s="26"/>
      <c r="K1207" s="32"/>
      <c r="L1207" s="30"/>
    </row>
    <row r="1208" spans="4:12" s="1" customFormat="1">
      <c r="D1208" s="1" t="str">
        <f t="shared" si="36"/>
        <v/>
      </c>
      <c r="E1208" s="26"/>
      <c r="K1208" s="32"/>
      <c r="L1208" s="30"/>
    </row>
    <row r="1209" spans="4:12" s="1" customFormat="1">
      <c r="D1209" s="1" t="str">
        <f t="shared" si="36"/>
        <v/>
      </c>
      <c r="E1209" s="26"/>
      <c r="K1209" s="32"/>
      <c r="L1209" s="30"/>
    </row>
    <row r="1210" spans="4:12" s="1" customFormat="1">
      <c r="D1210" s="1" t="str">
        <f t="shared" si="36"/>
        <v/>
      </c>
      <c r="E1210" s="26"/>
      <c r="K1210" s="32"/>
      <c r="L1210" s="30"/>
    </row>
    <row r="1211" spans="4:12" s="1" customFormat="1">
      <c r="D1211" s="1" t="str">
        <f t="shared" si="36"/>
        <v/>
      </c>
      <c r="E1211" s="26"/>
      <c r="K1211" s="32"/>
      <c r="L1211" s="30"/>
    </row>
    <row r="1212" spans="4:12" s="1" customFormat="1">
      <c r="D1212" s="1" t="str">
        <f t="shared" si="36"/>
        <v/>
      </c>
      <c r="E1212" s="26"/>
      <c r="K1212" s="32"/>
      <c r="L1212" s="30"/>
    </row>
    <row r="1213" spans="4:12" s="1" customFormat="1">
      <c r="D1213" s="1" t="str">
        <f t="shared" si="36"/>
        <v/>
      </c>
      <c r="E1213" s="26"/>
      <c r="K1213" s="32"/>
      <c r="L1213" s="30"/>
    </row>
    <row r="1214" spans="4:12" s="1" customFormat="1">
      <c r="D1214" s="1" t="str">
        <f t="shared" si="36"/>
        <v/>
      </c>
      <c r="E1214" s="26"/>
      <c r="K1214" s="32"/>
      <c r="L1214" s="30"/>
    </row>
    <row r="1215" spans="4:12" s="1" customFormat="1">
      <c r="D1215" s="1" t="str">
        <f t="shared" si="36"/>
        <v/>
      </c>
      <c r="E1215" s="26"/>
      <c r="K1215" s="32"/>
      <c r="L1215" s="30"/>
    </row>
    <row r="1216" spans="4:12" s="1" customFormat="1">
      <c r="D1216" s="1" t="str">
        <f t="shared" si="36"/>
        <v/>
      </c>
      <c r="E1216" s="26"/>
      <c r="K1216" s="32"/>
      <c r="L1216" s="30"/>
    </row>
    <row r="1217" spans="4:12" s="1" customFormat="1">
      <c r="D1217" s="1" t="str">
        <f t="shared" si="36"/>
        <v/>
      </c>
      <c r="E1217" s="26"/>
      <c r="K1217" s="32"/>
      <c r="L1217" s="30"/>
    </row>
    <row r="1218" spans="4:12" s="1" customFormat="1">
      <c r="D1218" s="1" t="str">
        <f t="shared" si="36"/>
        <v/>
      </c>
      <c r="E1218" s="26"/>
      <c r="K1218" s="32"/>
      <c r="L1218" s="30"/>
    </row>
    <row r="1219" spans="4:12" s="1" customFormat="1">
      <c r="D1219" s="1" t="str">
        <f t="shared" si="36"/>
        <v/>
      </c>
      <c r="E1219" s="26"/>
      <c r="K1219" s="32"/>
      <c r="L1219" s="30"/>
    </row>
    <row r="1220" spans="4:12" s="1" customFormat="1">
      <c r="D1220" s="1" t="str">
        <f t="shared" si="36"/>
        <v/>
      </c>
      <c r="E1220" s="26"/>
      <c r="K1220" s="32"/>
      <c r="L1220" s="30"/>
    </row>
    <row r="1221" spans="4:12" s="1" customFormat="1">
      <c r="D1221" s="1" t="str">
        <f t="shared" si="36"/>
        <v/>
      </c>
      <c r="E1221" s="26"/>
      <c r="K1221" s="32"/>
      <c r="L1221" s="30"/>
    </row>
    <row r="1222" spans="4:12" s="1" customFormat="1">
      <c r="D1222" s="1" t="str">
        <f t="shared" si="36"/>
        <v/>
      </c>
      <c r="E1222" s="26"/>
      <c r="K1222" s="32"/>
      <c r="L1222" s="30"/>
    </row>
    <row r="1223" spans="4:12" s="1" customFormat="1">
      <c r="D1223" s="1" t="str">
        <f t="shared" si="36"/>
        <v/>
      </c>
      <c r="E1223" s="26"/>
      <c r="K1223" s="32"/>
      <c r="L1223" s="30"/>
    </row>
    <row r="1224" spans="4:12" s="1" customFormat="1">
      <c r="D1224" s="1" t="str">
        <f t="shared" ref="D1224:D1287" si="37">IF(F1224&lt;&gt;"",RIGHT(F1224, LEN(F1224) - FIND(" - ", F1224) - 2),"")</f>
        <v/>
      </c>
      <c r="E1224" s="26"/>
      <c r="K1224" s="32"/>
      <c r="L1224" s="30"/>
    </row>
    <row r="1225" spans="4:12" s="1" customFormat="1">
      <c r="D1225" s="1" t="str">
        <f t="shared" si="37"/>
        <v/>
      </c>
      <c r="E1225" s="26"/>
      <c r="K1225" s="32"/>
      <c r="L1225" s="30"/>
    </row>
    <row r="1226" spans="4:12" s="1" customFormat="1">
      <c r="D1226" s="1" t="str">
        <f t="shared" si="37"/>
        <v/>
      </c>
      <c r="E1226" s="26"/>
      <c r="K1226" s="32"/>
      <c r="L1226" s="30"/>
    </row>
    <row r="1227" spans="4:12" s="1" customFormat="1">
      <c r="D1227" s="1" t="str">
        <f t="shared" si="37"/>
        <v/>
      </c>
      <c r="E1227" s="26"/>
      <c r="K1227" s="32"/>
      <c r="L1227" s="30"/>
    </row>
    <row r="1228" spans="4:12" s="1" customFormat="1">
      <c r="D1228" s="1" t="str">
        <f t="shared" si="37"/>
        <v/>
      </c>
      <c r="E1228" s="26"/>
      <c r="K1228" s="32"/>
      <c r="L1228" s="30"/>
    </row>
    <row r="1229" spans="4:12" s="1" customFormat="1">
      <c r="D1229" s="1" t="str">
        <f t="shared" si="37"/>
        <v/>
      </c>
      <c r="E1229" s="26"/>
      <c r="K1229" s="32"/>
      <c r="L1229" s="30"/>
    </row>
    <row r="1230" spans="4:12" s="1" customFormat="1">
      <c r="D1230" s="1" t="str">
        <f t="shared" si="37"/>
        <v/>
      </c>
      <c r="E1230" s="26"/>
      <c r="K1230" s="32"/>
      <c r="L1230" s="30"/>
    </row>
    <row r="1231" spans="4:12" s="1" customFormat="1">
      <c r="D1231" s="1" t="str">
        <f t="shared" si="37"/>
        <v/>
      </c>
      <c r="E1231" s="26"/>
      <c r="K1231" s="32"/>
      <c r="L1231" s="30"/>
    </row>
    <row r="1232" spans="4:12" s="1" customFormat="1">
      <c r="D1232" s="1" t="str">
        <f t="shared" si="37"/>
        <v/>
      </c>
      <c r="E1232" s="26"/>
      <c r="K1232" s="32"/>
      <c r="L1232" s="30"/>
    </row>
    <row r="1233" spans="4:12" s="1" customFormat="1">
      <c r="D1233" s="1" t="str">
        <f t="shared" si="37"/>
        <v/>
      </c>
      <c r="E1233" s="26"/>
      <c r="K1233" s="32"/>
      <c r="L1233" s="30"/>
    </row>
    <row r="1234" spans="4:12" s="1" customFormat="1">
      <c r="D1234" s="1" t="str">
        <f t="shared" si="37"/>
        <v/>
      </c>
      <c r="E1234" s="26"/>
      <c r="K1234" s="32"/>
      <c r="L1234" s="30"/>
    </row>
    <row r="1235" spans="4:12" s="1" customFormat="1">
      <c r="D1235" s="1" t="str">
        <f t="shared" si="37"/>
        <v/>
      </c>
      <c r="E1235" s="26"/>
      <c r="K1235" s="32"/>
      <c r="L1235" s="30"/>
    </row>
    <row r="1236" spans="4:12" s="1" customFormat="1">
      <c r="D1236" s="1" t="str">
        <f t="shared" si="37"/>
        <v/>
      </c>
      <c r="E1236" s="26"/>
      <c r="K1236" s="32"/>
      <c r="L1236" s="30"/>
    </row>
    <row r="1237" spans="4:12" s="1" customFormat="1">
      <c r="D1237" s="1" t="str">
        <f t="shared" si="37"/>
        <v/>
      </c>
      <c r="E1237" s="26"/>
      <c r="K1237" s="32"/>
      <c r="L1237" s="30"/>
    </row>
    <row r="1238" spans="4:12" s="1" customFormat="1">
      <c r="D1238" s="1" t="str">
        <f t="shared" si="37"/>
        <v/>
      </c>
      <c r="E1238" s="26"/>
      <c r="K1238" s="32"/>
      <c r="L1238" s="30"/>
    </row>
    <row r="1239" spans="4:12" s="1" customFormat="1">
      <c r="D1239" s="1" t="str">
        <f t="shared" si="37"/>
        <v/>
      </c>
      <c r="E1239" s="26"/>
      <c r="K1239" s="32"/>
      <c r="L1239" s="30"/>
    </row>
    <row r="1240" spans="4:12" s="1" customFormat="1">
      <c r="D1240" s="1" t="str">
        <f t="shared" si="37"/>
        <v/>
      </c>
      <c r="E1240" s="26"/>
      <c r="K1240" s="32"/>
      <c r="L1240" s="30"/>
    </row>
    <row r="1241" spans="4:12" s="1" customFormat="1">
      <c r="D1241" s="1" t="str">
        <f t="shared" si="37"/>
        <v/>
      </c>
      <c r="E1241" s="26"/>
      <c r="K1241" s="32"/>
      <c r="L1241" s="30"/>
    </row>
    <row r="1242" spans="4:12" s="1" customFormat="1">
      <c r="D1242" s="1" t="str">
        <f t="shared" si="37"/>
        <v/>
      </c>
      <c r="E1242" s="26"/>
      <c r="K1242" s="32"/>
      <c r="L1242" s="30"/>
    </row>
    <row r="1243" spans="4:12" s="1" customFormat="1">
      <c r="D1243" s="1" t="str">
        <f t="shared" si="37"/>
        <v/>
      </c>
      <c r="E1243" s="26"/>
      <c r="K1243" s="32"/>
      <c r="L1243" s="30"/>
    </row>
    <row r="1244" spans="4:12" s="1" customFormat="1">
      <c r="D1244" s="1" t="str">
        <f t="shared" si="37"/>
        <v/>
      </c>
      <c r="E1244" s="26"/>
      <c r="K1244" s="32"/>
      <c r="L1244" s="30"/>
    </row>
    <row r="1245" spans="4:12" s="1" customFormat="1">
      <c r="D1245" s="1" t="str">
        <f t="shared" si="37"/>
        <v/>
      </c>
      <c r="E1245" s="26"/>
      <c r="K1245" s="32"/>
      <c r="L1245" s="30"/>
    </row>
    <row r="1246" spans="4:12" s="1" customFormat="1">
      <c r="D1246" s="1" t="str">
        <f t="shared" si="37"/>
        <v/>
      </c>
      <c r="E1246" s="26"/>
      <c r="K1246" s="32"/>
      <c r="L1246" s="30"/>
    </row>
    <row r="1247" spans="4:12" s="1" customFormat="1">
      <c r="D1247" s="1" t="str">
        <f t="shared" si="37"/>
        <v/>
      </c>
      <c r="E1247" s="26"/>
      <c r="K1247" s="32"/>
      <c r="L1247" s="30"/>
    </row>
    <row r="1248" spans="4:12" s="1" customFormat="1">
      <c r="D1248" s="1" t="str">
        <f t="shared" si="37"/>
        <v/>
      </c>
      <c r="E1248" s="26"/>
      <c r="K1248" s="32"/>
      <c r="L1248" s="30"/>
    </row>
    <row r="1249" spans="4:12" s="1" customFormat="1">
      <c r="D1249" s="1" t="str">
        <f t="shared" si="37"/>
        <v/>
      </c>
      <c r="E1249" s="26"/>
      <c r="K1249" s="32"/>
      <c r="L1249" s="30"/>
    </row>
    <row r="1250" spans="4:12" s="1" customFormat="1">
      <c r="D1250" s="1" t="str">
        <f t="shared" si="37"/>
        <v/>
      </c>
      <c r="E1250" s="26"/>
      <c r="K1250" s="32"/>
      <c r="L1250" s="30"/>
    </row>
    <row r="1251" spans="4:12" s="1" customFormat="1">
      <c r="D1251" s="1" t="str">
        <f t="shared" si="37"/>
        <v/>
      </c>
      <c r="E1251" s="26"/>
      <c r="K1251" s="32"/>
      <c r="L1251" s="30"/>
    </row>
    <row r="1252" spans="4:12" s="1" customFormat="1">
      <c r="D1252" s="1" t="str">
        <f t="shared" si="37"/>
        <v/>
      </c>
      <c r="E1252" s="26"/>
      <c r="K1252" s="32"/>
      <c r="L1252" s="30"/>
    </row>
    <row r="1253" spans="4:12" s="1" customFormat="1">
      <c r="D1253" s="1" t="str">
        <f t="shared" si="37"/>
        <v/>
      </c>
      <c r="E1253" s="26"/>
      <c r="K1253" s="32"/>
      <c r="L1253" s="30"/>
    </row>
    <row r="1254" spans="4:12" s="1" customFormat="1">
      <c r="D1254" s="1" t="str">
        <f t="shared" si="37"/>
        <v/>
      </c>
      <c r="E1254" s="26"/>
      <c r="K1254" s="32"/>
      <c r="L1254" s="30"/>
    </row>
    <row r="1255" spans="4:12" s="1" customFormat="1">
      <c r="D1255" s="1" t="str">
        <f t="shared" si="37"/>
        <v/>
      </c>
      <c r="E1255" s="26"/>
      <c r="K1255" s="32"/>
      <c r="L1255" s="30"/>
    </row>
    <row r="1256" spans="4:12" s="1" customFormat="1">
      <c r="D1256" s="1" t="str">
        <f t="shared" si="37"/>
        <v/>
      </c>
      <c r="E1256" s="26"/>
      <c r="K1256" s="32"/>
      <c r="L1256" s="30"/>
    </row>
    <row r="1257" spans="4:12" s="1" customFormat="1">
      <c r="D1257" s="1" t="str">
        <f t="shared" si="37"/>
        <v/>
      </c>
      <c r="E1257" s="26"/>
      <c r="K1257" s="32"/>
      <c r="L1257" s="30"/>
    </row>
    <row r="1258" spans="4:12" s="1" customFormat="1">
      <c r="D1258" s="1" t="str">
        <f t="shared" si="37"/>
        <v/>
      </c>
      <c r="E1258" s="26"/>
      <c r="K1258" s="32"/>
      <c r="L1258" s="30"/>
    </row>
    <row r="1259" spans="4:12" s="1" customFormat="1">
      <c r="D1259" s="1" t="str">
        <f t="shared" si="37"/>
        <v/>
      </c>
      <c r="E1259" s="26"/>
      <c r="K1259" s="32"/>
      <c r="L1259" s="30"/>
    </row>
    <row r="1260" spans="4:12" s="1" customFormat="1">
      <c r="D1260" s="1" t="str">
        <f t="shared" si="37"/>
        <v/>
      </c>
      <c r="E1260" s="26"/>
      <c r="K1260" s="32"/>
      <c r="L1260" s="30"/>
    </row>
    <row r="1261" spans="4:12" s="1" customFormat="1">
      <c r="D1261" s="1" t="str">
        <f t="shared" si="37"/>
        <v/>
      </c>
      <c r="E1261" s="26"/>
      <c r="K1261" s="32"/>
      <c r="L1261" s="30"/>
    </row>
    <row r="1262" spans="4:12" s="1" customFormat="1">
      <c r="D1262" s="1" t="str">
        <f t="shared" si="37"/>
        <v/>
      </c>
      <c r="E1262" s="26"/>
      <c r="K1262" s="32"/>
      <c r="L1262" s="30"/>
    </row>
    <row r="1263" spans="4:12" s="1" customFormat="1">
      <c r="D1263" s="1" t="str">
        <f t="shared" si="37"/>
        <v/>
      </c>
      <c r="E1263" s="26"/>
      <c r="K1263" s="32"/>
      <c r="L1263" s="30"/>
    </row>
    <row r="1264" spans="4:12" s="1" customFormat="1">
      <c r="D1264" s="1" t="str">
        <f t="shared" si="37"/>
        <v/>
      </c>
      <c r="E1264" s="26"/>
      <c r="K1264" s="32"/>
      <c r="L1264" s="30"/>
    </row>
    <row r="1265" spans="4:12" s="1" customFormat="1">
      <c r="D1265" s="1" t="str">
        <f t="shared" si="37"/>
        <v/>
      </c>
      <c r="E1265" s="26"/>
      <c r="K1265" s="32"/>
      <c r="L1265" s="30"/>
    </row>
    <row r="1266" spans="4:12" s="1" customFormat="1">
      <c r="D1266" s="1" t="str">
        <f t="shared" si="37"/>
        <v/>
      </c>
      <c r="E1266" s="26"/>
      <c r="K1266" s="32"/>
      <c r="L1266" s="30"/>
    </row>
    <row r="1267" spans="4:12" s="1" customFormat="1">
      <c r="D1267" s="1" t="str">
        <f t="shared" si="37"/>
        <v/>
      </c>
      <c r="E1267" s="26"/>
      <c r="K1267" s="32"/>
      <c r="L1267" s="30"/>
    </row>
    <row r="1268" spans="4:12" s="1" customFormat="1">
      <c r="D1268" s="1" t="str">
        <f t="shared" si="37"/>
        <v/>
      </c>
      <c r="E1268" s="26"/>
      <c r="K1268" s="32"/>
      <c r="L1268" s="30"/>
    </row>
    <row r="1269" spans="4:12" s="1" customFormat="1">
      <c r="D1269" s="1" t="str">
        <f t="shared" si="37"/>
        <v/>
      </c>
      <c r="E1269" s="26"/>
      <c r="K1269" s="32"/>
      <c r="L1269" s="30"/>
    </row>
    <row r="1270" spans="4:12" s="1" customFormat="1">
      <c r="D1270" s="1" t="str">
        <f t="shared" si="37"/>
        <v/>
      </c>
      <c r="E1270" s="26"/>
      <c r="K1270" s="32"/>
      <c r="L1270" s="30"/>
    </row>
    <row r="1271" spans="4:12" s="1" customFormat="1">
      <c r="D1271" s="1" t="str">
        <f t="shared" si="37"/>
        <v/>
      </c>
      <c r="E1271" s="26"/>
      <c r="K1271" s="32"/>
      <c r="L1271" s="30"/>
    </row>
    <row r="1272" spans="4:12" s="1" customFormat="1">
      <c r="D1272" s="1" t="str">
        <f t="shared" si="37"/>
        <v/>
      </c>
      <c r="E1272" s="26"/>
      <c r="K1272" s="32"/>
      <c r="L1272" s="30"/>
    </row>
    <row r="1273" spans="4:12" s="1" customFormat="1">
      <c r="D1273" s="1" t="str">
        <f t="shared" si="37"/>
        <v/>
      </c>
      <c r="E1273" s="26"/>
      <c r="K1273" s="32"/>
      <c r="L1273" s="30"/>
    </row>
    <row r="1274" spans="4:12" s="1" customFormat="1">
      <c r="D1274" s="1" t="str">
        <f t="shared" si="37"/>
        <v/>
      </c>
      <c r="E1274" s="26"/>
      <c r="K1274" s="32"/>
      <c r="L1274" s="30"/>
    </row>
    <row r="1275" spans="4:12" s="1" customFormat="1">
      <c r="D1275" s="1" t="str">
        <f t="shared" si="37"/>
        <v/>
      </c>
      <c r="E1275" s="26"/>
      <c r="K1275" s="32"/>
      <c r="L1275" s="30"/>
    </row>
    <row r="1276" spans="4:12" s="1" customFormat="1">
      <c r="D1276" s="1" t="str">
        <f t="shared" si="37"/>
        <v/>
      </c>
      <c r="E1276" s="26"/>
      <c r="K1276" s="32"/>
      <c r="L1276" s="30"/>
    </row>
    <row r="1277" spans="4:12" s="1" customFormat="1">
      <c r="D1277" s="1" t="str">
        <f t="shared" si="37"/>
        <v/>
      </c>
      <c r="E1277" s="26"/>
      <c r="K1277" s="32"/>
      <c r="L1277" s="30"/>
    </row>
    <row r="1278" spans="4:12" s="1" customFormat="1">
      <c r="D1278" s="1" t="str">
        <f t="shared" si="37"/>
        <v/>
      </c>
      <c r="E1278" s="26"/>
      <c r="K1278" s="32"/>
      <c r="L1278" s="30"/>
    </row>
    <row r="1279" spans="4:12" s="1" customFormat="1">
      <c r="D1279" s="1" t="str">
        <f t="shared" si="37"/>
        <v/>
      </c>
      <c r="E1279" s="26"/>
      <c r="K1279" s="32"/>
      <c r="L1279" s="30"/>
    </row>
    <row r="1280" spans="4:12" s="1" customFormat="1">
      <c r="D1280" s="1" t="str">
        <f t="shared" si="37"/>
        <v/>
      </c>
      <c r="E1280" s="26"/>
      <c r="K1280" s="32"/>
      <c r="L1280" s="30"/>
    </row>
    <row r="1281" spans="4:12" s="1" customFormat="1">
      <c r="D1281" s="1" t="str">
        <f t="shared" si="37"/>
        <v/>
      </c>
      <c r="E1281" s="26"/>
      <c r="K1281" s="32"/>
      <c r="L1281" s="30"/>
    </row>
    <row r="1282" spans="4:12" s="1" customFormat="1">
      <c r="D1282" s="1" t="str">
        <f t="shared" si="37"/>
        <v/>
      </c>
      <c r="E1282" s="26"/>
      <c r="K1282" s="32"/>
      <c r="L1282" s="30"/>
    </row>
    <row r="1283" spans="4:12" s="1" customFormat="1">
      <c r="D1283" s="1" t="str">
        <f t="shared" si="37"/>
        <v/>
      </c>
      <c r="E1283" s="26"/>
      <c r="K1283" s="32"/>
      <c r="L1283" s="30"/>
    </row>
    <row r="1284" spans="4:12" s="1" customFormat="1">
      <c r="D1284" s="1" t="str">
        <f t="shared" si="37"/>
        <v/>
      </c>
      <c r="E1284" s="26"/>
      <c r="K1284" s="32"/>
      <c r="L1284" s="30"/>
    </row>
    <row r="1285" spans="4:12" s="1" customFormat="1">
      <c r="D1285" s="1" t="str">
        <f t="shared" si="37"/>
        <v/>
      </c>
      <c r="E1285" s="26"/>
      <c r="K1285" s="32"/>
      <c r="L1285" s="30"/>
    </row>
    <row r="1286" spans="4:12" s="1" customFormat="1">
      <c r="D1286" s="1" t="str">
        <f t="shared" si="37"/>
        <v/>
      </c>
      <c r="E1286" s="26"/>
      <c r="K1286" s="32"/>
      <c r="L1286" s="30"/>
    </row>
    <row r="1287" spans="4:12" s="1" customFormat="1">
      <c r="D1287" s="1" t="str">
        <f t="shared" si="37"/>
        <v/>
      </c>
      <c r="E1287" s="26"/>
      <c r="K1287" s="32"/>
      <c r="L1287" s="30"/>
    </row>
    <row r="1288" spans="4:12" s="1" customFormat="1">
      <c r="D1288" s="1" t="str">
        <f t="shared" ref="D1288:D1351" si="38">IF(F1288&lt;&gt;"",RIGHT(F1288, LEN(F1288) - FIND(" - ", F1288) - 2),"")</f>
        <v/>
      </c>
      <c r="E1288" s="26"/>
      <c r="K1288" s="32"/>
      <c r="L1288" s="30"/>
    </row>
    <row r="1289" spans="4:12" s="1" customFormat="1">
      <c r="D1289" s="1" t="str">
        <f t="shared" si="38"/>
        <v/>
      </c>
      <c r="E1289" s="26"/>
      <c r="K1289" s="32"/>
      <c r="L1289" s="30"/>
    </row>
    <row r="1290" spans="4:12" s="1" customFormat="1">
      <c r="D1290" s="1" t="str">
        <f t="shared" si="38"/>
        <v/>
      </c>
      <c r="E1290" s="26"/>
      <c r="K1290" s="32"/>
      <c r="L1290" s="30"/>
    </row>
    <row r="1291" spans="4:12" s="1" customFormat="1">
      <c r="D1291" s="1" t="str">
        <f t="shared" si="38"/>
        <v/>
      </c>
      <c r="E1291" s="26"/>
      <c r="K1291" s="32"/>
      <c r="L1291" s="30"/>
    </row>
    <row r="1292" spans="4:12" s="1" customFormat="1">
      <c r="D1292" s="1" t="str">
        <f t="shared" si="38"/>
        <v/>
      </c>
      <c r="E1292" s="26"/>
      <c r="K1292" s="32"/>
      <c r="L1292" s="30"/>
    </row>
    <row r="1293" spans="4:12" s="1" customFormat="1">
      <c r="D1293" s="1" t="str">
        <f t="shared" si="38"/>
        <v/>
      </c>
      <c r="E1293" s="26"/>
      <c r="K1293" s="32"/>
      <c r="L1293" s="30"/>
    </row>
    <row r="1294" spans="4:12" s="1" customFormat="1">
      <c r="D1294" s="1" t="str">
        <f t="shared" si="38"/>
        <v/>
      </c>
      <c r="E1294" s="26"/>
      <c r="K1294" s="32"/>
      <c r="L1294" s="30"/>
    </row>
    <row r="1295" spans="4:12" s="1" customFormat="1">
      <c r="D1295" s="1" t="str">
        <f t="shared" si="38"/>
        <v/>
      </c>
      <c r="E1295" s="26"/>
      <c r="K1295" s="32"/>
      <c r="L1295" s="30"/>
    </row>
    <row r="1296" spans="4:12" s="1" customFormat="1">
      <c r="D1296" s="1" t="str">
        <f t="shared" si="38"/>
        <v/>
      </c>
      <c r="E1296" s="26"/>
      <c r="K1296" s="32"/>
      <c r="L1296" s="30"/>
    </row>
    <row r="1297" spans="4:12" s="1" customFormat="1">
      <c r="D1297" s="1" t="str">
        <f t="shared" si="38"/>
        <v/>
      </c>
      <c r="E1297" s="26"/>
      <c r="K1297" s="32"/>
      <c r="L1297" s="30"/>
    </row>
    <row r="1298" spans="4:12" s="1" customFormat="1">
      <c r="D1298" s="1" t="str">
        <f t="shared" si="38"/>
        <v/>
      </c>
      <c r="E1298" s="26"/>
      <c r="K1298" s="32"/>
      <c r="L1298" s="30"/>
    </row>
    <row r="1299" spans="4:12" s="1" customFormat="1">
      <c r="D1299" s="1" t="str">
        <f t="shared" si="38"/>
        <v/>
      </c>
      <c r="E1299" s="26"/>
      <c r="K1299" s="32"/>
      <c r="L1299" s="30"/>
    </row>
    <row r="1300" spans="4:12" s="1" customFormat="1">
      <c r="D1300" s="1" t="str">
        <f t="shared" si="38"/>
        <v/>
      </c>
      <c r="E1300" s="26"/>
      <c r="K1300" s="32"/>
      <c r="L1300" s="30"/>
    </row>
    <row r="1301" spans="4:12" s="1" customFormat="1">
      <c r="D1301" s="1" t="str">
        <f t="shared" si="38"/>
        <v/>
      </c>
      <c r="E1301" s="26"/>
      <c r="K1301" s="32"/>
      <c r="L1301" s="30"/>
    </row>
    <row r="1302" spans="4:12" s="1" customFormat="1">
      <c r="D1302" s="1" t="str">
        <f t="shared" si="38"/>
        <v/>
      </c>
      <c r="E1302" s="26"/>
      <c r="K1302" s="32"/>
      <c r="L1302" s="30"/>
    </row>
    <row r="1303" spans="4:12" s="1" customFormat="1">
      <c r="D1303" s="1" t="str">
        <f t="shared" si="38"/>
        <v/>
      </c>
      <c r="E1303" s="26"/>
      <c r="K1303" s="32"/>
      <c r="L1303" s="30"/>
    </row>
    <row r="1304" spans="4:12" s="1" customFormat="1">
      <c r="D1304" s="1" t="str">
        <f t="shared" si="38"/>
        <v/>
      </c>
      <c r="E1304" s="26"/>
      <c r="K1304" s="32"/>
      <c r="L1304" s="30"/>
    </row>
    <row r="1305" spans="4:12" s="1" customFormat="1">
      <c r="D1305" s="1" t="str">
        <f t="shared" si="38"/>
        <v/>
      </c>
      <c r="E1305" s="26"/>
      <c r="K1305" s="32"/>
      <c r="L1305" s="30"/>
    </row>
    <row r="1306" spans="4:12" s="1" customFormat="1">
      <c r="D1306" s="1" t="str">
        <f t="shared" si="38"/>
        <v/>
      </c>
      <c r="E1306" s="26"/>
      <c r="K1306" s="32"/>
      <c r="L1306" s="30"/>
    </row>
    <row r="1307" spans="4:12" s="1" customFormat="1">
      <c r="D1307" s="1" t="str">
        <f t="shared" si="38"/>
        <v/>
      </c>
      <c r="E1307" s="26"/>
      <c r="K1307" s="32"/>
      <c r="L1307" s="30"/>
    </row>
    <row r="1308" spans="4:12" s="1" customFormat="1">
      <c r="D1308" s="1" t="str">
        <f t="shared" si="38"/>
        <v/>
      </c>
      <c r="E1308" s="26"/>
      <c r="K1308" s="32"/>
      <c r="L1308" s="30"/>
    </row>
    <row r="1309" spans="4:12" s="1" customFormat="1">
      <c r="D1309" s="1" t="str">
        <f t="shared" si="38"/>
        <v/>
      </c>
      <c r="E1309" s="26"/>
      <c r="K1309" s="32"/>
      <c r="L1309" s="30"/>
    </row>
    <row r="1310" spans="4:12" s="1" customFormat="1">
      <c r="D1310" s="1" t="str">
        <f t="shared" si="38"/>
        <v/>
      </c>
      <c r="E1310" s="26"/>
      <c r="K1310" s="32"/>
      <c r="L1310" s="30"/>
    </row>
    <row r="1311" spans="4:12" s="1" customFormat="1">
      <c r="D1311" s="1" t="str">
        <f t="shared" si="38"/>
        <v/>
      </c>
      <c r="E1311" s="26"/>
      <c r="K1311" s="32"/>
      <c r="L1311" s="30"/>
    </row>
    <row r="1312" spans="4:12" s="1" customFormat="1">
      <c r="D1312" s="1" t="str">
        <f t="shared" si="38"/>
        <v/>
      </c>
      <c r="E1312" s="26"/>
      <c r="K1312" s="32"/>
      <c r="L1312" s="30"/>
    </row>
    <row r="1313" spans="4:12" s="1" customFormat="1">
      <c r="D1313" s="1" t="str">
        <f t="shared" si="38"/>
        <v/>
      </c>
      <c r="E1313" s="26"/>
      <c r="K1313" s="32"/>
      <c r="L1313" s="30"/>
    </row>
    <row r="1314" spans="4:12" s="1" customFormat="1">
      <c r="D1314" s="1" t="str">
        <f t="shared" si="38"/>
        <v/>
      </c>
      <c r="E1314" s="26"/>
      <c r="K1314" s="32"/>
      <c r="L1314" s="30"/>
    </row>
    <row r="1315" spans="4:12" s="1" customFormat="1">
      <c r="D1315" s="1" t="str">
        <f t="shared" si="38"/>
        <v/>
      </c>
      <c r="E1315" s="26"/>
      <c r="K1315" s="32"/>
      <c r="L1315" s="30"/>
    </row>
    <row r="1316" spans="4:12" s="1" customFormat="1">
      <c r="D1316" s="1" t="str">
        <f t="shared" si="38"/>
        <v/>
      </c>
      <c r="E1316" s="26"/>
      <c r="K1316" s="32"/>
      <c r="L1316" s="30"/>
    </row>
    <row r="1317" spans="4:12" s="1" customFormat="1">
      <c r="D1317" s="1" t="str">
        <f t="shared" si="38"/>
        <v/>
      </c>
      <c r="E1317" s="26"/>
      <c r="K1317" s="32"/>
      <c r="L1317" s="30"/>
    </row>
    <row r="1318" spans="4:12" s="1" customFormat="1">
      <c r="D1318" s="1" t="str">
        <f t="shared" si="38"/>
        <v/>
      </c>
      <c r="E1318" s="26"/>
      <c r="K1318" s="32"/>
      <c r="L1318" s="30"/>
    </row>
    <row r="1319" spans="4:12" s="1" customFormat="1">
      <c r="D1319" s="1" t="str">
        <f t="shared" si="38"/>
        <v/>
      </c>
      <c r="E1319" s="26"/>
      <c r="K1319" s="32"/>
      <c r="L1319" s="30"/>
    </row>
    <row r="1320" spans="4:12" s="1" customFormat="1">
      <c r="D1320" s="1" t="str">
        <f t="shared" si="38"/>
        <v/>
      </c>
      <c r="E1320" s="26"/>
      <c r="K1320" s="32"/>
      <c r="L1320" s="30"/>
    </row>
    <row r="1321" spans="4:12" s="1" customFormat="1">
      <c r="D1321" s="1" t="str">
        <f t="shared" si="38"/>
        <v/>
      </c>
      <c r="E1321" s="26"/>
      <c r="K1321" s="32"/>
      <c r="L1321" s="30"/>
    </row>
    <row r="1322" spans="4:12" s="1" customFormat="1">
      <c r="D1322" s="1" t="str">
        <f t="shared" si="38"/>
        <v/>
      </c>
      <c r="E1322" s="26"/>
      <c r="K1322" s="32"/>
      <c r="L1322" s="30"/>
    </row>
    <row r="1323" spans="4:12" s="1" customFormat="1">
      <c r="D1323" s="1" t="str">
        <f t="shared" si="38"/>
        <v/>
      </c>
      <c r="E1323" s="26"/>
      <c r="K1323" s="32"/>
      <c r="L1323" s="30"/>
    </row>
    <row r="1324" spans="4:12" s="1" customFormat="1">
      <c r="D1324" s="1" t="str">
        <f t="shared" si="38"/>
        <v/>
      </c>
      <c r="E1324" s="26"/>
      <c r="K1324" s="32"/>
      <c r="L1324" s="30"/>
    </row>
    <row r="1325" spans="4:12" s="1" customFormat="1">
      <c r="D1325" s="1" t="str">
        <f t="shared" si="38"/>
        <v/>
      </c>
      <c r="E1325" s="26"/>
      <c r="K1325" s="32"/>
      <c r="L1325" s="30"/>
    </row>
    <row r="1326" spans="4:12" s="1" customFormat="1">
      <c r="D1326" s="1" t="str">
        <f t="shared" si="38"/>
        <v/>
      </c>
      <c r="E1326" s="26"/>
      <c r="K1326" s="32"/>
      <c r="L1326" s="30"/>
    </row>
    <row r="1327" spans="4:12" s="1" customFormat="1">
      <c r="D1327" s="1" t="str">
        <f t="shared" si="38"/>
        <v/>
      </c>
      <c r="E1327" s="26"/>
      <c r="K1327" s="32"/>
      <c r="L1327" s="30"/>
    </row>
    <row r="1328" spans="4:12" s="1" customFormat="1">
      <c r="D1328" s="1" t="str">
        <f t="shared" si="38"/>
        <v/>
      </c>
      <c r="E1328" s="26"/>
      <c r="K1328" s="32"/>
      <c r="L1328" s="30"/>
    </row>
    <row r="1329" spans="4:12" s="1" customFormat="1">
      <c r="D1329" s="1" t="str">
        <f t="shared" si="38"/>
        <v/>
      </c>
      <c r="E1329" s="26"/>
      <c r="K1329" s="32"/>
      <c r="L1329" s="30"/>
    </row>
    <row r="1330" spans="4:12" s="1" customFormat="1">
      <c r="D1330" s="1" t="str">
        <f t="shared" si="38"/>
        <v/>
      </c>
      <c r="E1330" s="26"/>
      <c r="K1330" s="32"/>
      <c r="L1330" s="30"/>
    </row>
    <row r="1331" spans="4:12" s="1" customFormat="1">
      <c r="D1331" s="1" t="str">
        <f t="shared" si="38"/>
        <v/>
      </c>
      <c r="E1331" s="26"/>
      <c r="K1331" s="32"/>
      <c r="L1331" s="30"/>
    </row>
    <row r="1332" spans="4:12" s="1" customFormat="1">
      <c r="D1332" s="1" t="str">
        <f t="shared" si="38"/>
        <v/>
      </c>
      <c r="E1332" s="26"/>
      <c r="K1332" s="32"/>
      <c r="L1332" s="30"/>
    </row>
    <row r="1333" spans="4:12" s="1" customFormat="1">
      <c r="D1333" s="1" t="str">
        <f t="shared" si="38"/>
        <v/>
      </c>
      <c r="E1333" s="26"/>
      <c r="K1333" s="32"/>
      <c r="L1333" s="30"/>
    </row>
    <row r="1334" spans="4:12" s="1" customFormat="1">
      <c r="D1334" s="1" t="str">
        <f t="shared" si="38"/>
        <v/>
      </c>
      <c r="E1334" s="26"/>
      <c r="K1334" s="32"/>
      <c r="L1334" s="30"/>
    </row>
    <row r="1335" spans="4:12" s="1" customFormat="1">
      <c r="D1335" s="1" t="str">
        <f t="shared" si="38"/>
        <v/>
      </c>
      <c r="E1335" s="26"/>
      <c r="K1335" s="32"/>
      <c r="L1335" s="30"/>
    </row>
    <row r="1336" spans="4:12" s="1" customFormat="1">
      <c r="D1336" s="1" t="str">
        <f t="shared" si="38"/>
        <v/>
      </c>
      <c r="E1336" s="26"/>
      <c r="K1336" s="32"/>
      <c r="L1336" s="30"/>
    </row>
    <row r="1337" spans="4:12" s="1" customFormat="1">
      <c r="D1337" s="1" t="str">
        <f t="shared" si="38"/>
        <v/>
      </c>
      <c r="E1337" s="26"/>
      <c r="K1337" s="32"/>
      <c r="L1337" s="30"/>
    </row>
    <row r="1338" spans="4:12" s="1" customFormat="1">
      <c r="D1338" s="1" t="str">
        <f t="shared" si="38"/>
        <v/>
      </c>
      <c r="E1338" s="26"/>
      <c r="K1338" s="32"/>
      <c r="L1338" s="30"/>
    </row>
    <row r="1339" spans="4:12" s="1" customFormat="1">
      <c r="D1339" s="1" t="str">
        <f t="shared" si="38"/>
        <v/>
      </c>
      <c r="E1339" s="26"/>
      <c r="K1339" s="32"/>
      <c r="L1339" s="30"/>
    </row>
    <row r="1340" spans="4:12" s="1" customFormat="1">
      <c r="D1340" s="1" t="str">
        <f t="shared" si="38"/>
        <v/>
      </c>
      <c r="E1340" s="26"/>
      <c r="K1340" s="32"/>
      <c r="L1340" s="30"/>
    </row>
    <row r="1341" spans="4:12" s="1" customFormat="1">
      <c r="D1341" s="1" t="str">
        <f t="shared" si="38"/>
        <v/>
      </c>
      <c r="E1341" s="26"/>
      <c r="K1341" s="32"/>
      <c r="L1341" s="30"/>
    </row>
    <row r="1342" spans="4:12" s="1" customFormat="1">
      <c r="D1342" s="1" t="str">
        <f t="shared" si="38"/>
        <v/>
      </c>
      <c r="E1342" s="26"/>
      <c r="K1342" s="32"/>
      <c r="L1342" s="30"/>
    </row>
    <row r="1343" spans="4:12" s="1" customFormat="1">
      <c r="D1343" s="1" t="str">
        <f t="shared" si="38"/>
        <v/>
      </c>
      <c r="E1343" s="26"/>
      <c r="K1343" s="32"/>
      <c r="L1343" s="30"/>
    </row>
    <row r="1344" spans="4:12" s="1" customFormat="1">
      <c r="D1344" s="1" t="str">
        <f t="shared" si="38"/>
        <v/>
      </c>
      <c r="E1344" s="26"/>
      <c r="K1344" s="32"/>
      <c r="L1344" s="30"/>
    </row>
    <row r="1345" spans="4:12" s="1" customFormat="1">
      <c r="D1345" s="1" t="str">
        <f t="shared" si="38"/>
        <v/>
      </c>
      <c r="E1345" s="26"/>
      <c r="K1345" s="32"/>
      <c r="L1345" s="30"/>
    </row>
    <row r="1346" spans="4:12" s="1" customFormat="1">
      <c r="D1346" s="1" t="str">
        <f t="shared" si="38"/>
        <v/>
      </c>
      <c r="E1346" s="26"/>
      <c r="K1346" s="32"/>
      <c r="L1346" s="30"/>
    </row>
    <row r="1347" spans="4:12" s="1" customFormat="1">
      <c r="D1347" s="1" t="str">
        <f t="shared" si="38"/>
        <v/>
      </c>
      <c r="E1347" s="26"/>
      <c r="K1347" s="32"/>
      <c r="L1347" s="30"/>
    </row>
    <row r="1348" spans="4:12" s="1" customFormat="1">
      <c r="D1348" s="1" t="str">
        <f t="shared" si="38"/>
        <v/>
      </c>
      <c r="E1348" s="26"/>
      <c r="K1348" s="32"/>
      <c r="L1348" s="30"/>
    </row>
    <row r="1349" spans="4:12" s="1" customFormat="1">
      <c r="D1349" s="1" t="str">
        <f t="shared" si="38"/>
        <v/>
      </c>
      <c r="E1349" s="26"/>
      <c r="K1349" s="32"/>
      <c r="L1349" s="30"/>
    </row>
    <row r="1350" spans="4:12" s="1" customFormat="1">
      <c r="D1350" s="1" t="str">
        <f t="shared" si="38"/>
        <v/>
      </c>
      <c r="E1350" s="26"/>
      <c r="K1350" s="32"/>
      <c r="L1350" s="30"/>
    </row>
    <row r="1351" spans="4:12" s="1" customFormat="1">
      <c r="D1351" s="1" t="str">
        <f t="shared" si="38"/>
        <v/>
      </c>
      <c r="E1351" s="26"/>
      <c r="K1351" s="32"/>
      <c r="L1351" s="30"/>
    </row>
    <row r="1352" spans="4:12" s="1" customFormat="1">
      <c r="D1352" s="1" t="str">
        <f t="shared" ref="D1352:D1415" si="39">IF(F1352&lt;&gt;"",RIGHT(F1352, LEN(F1352) - FIND(" - ", F1352) - 2),"")</f>
        <v/>
      </c>
      <c r="E1352" s="26"/>
      <c r="K1352" s="32"/>
      <c r="L1352" s="30"/>
    </row>
    <row r="1353" spans="4:12" s="1" customFormat="1">
      <c r="D1353" s="1" t="str">
        <f t="shared" si="39"/>
        <v/>
      </c>
      <c r="E1353" s="26"/>
      <c r="K1353" s="32"/>
      <c r="L1353" s="30"/>
    </row>
    <row r="1354" spans="4:12" s="1" customFormat="1">
      <c r="D1354" s="1" t="str">
        <f t="shared" si="39"/>
        <v/>
      </c>
      <c r="E1354" s="26"/>
      <c r="K1354" s="32"/>
      <c r="L1354" s="30"/>
    </row>
    <row r="1355" spans="4:12" s="1" customFormat="1">
      <c r="D1355" s="1" t="str">
        <f t="shared" si="39"/>
        <v/>
      </c>
      <c r="E1355" s="26"/>
      <c r="K1355" s="32"/>
      <c r="L1355" s="30"/>
    </row>
    <row r="1356" spans="4:12" s="1" customFormat="1">
      <c r="D1356" s="1" t="str">
        <f t="shared" si="39"/>
        <v/>
      </c>
      <c r="E1356" s="26"/>
      <c r="K1356" s="32"/>
      <c r="L1356" s="30"/>
    </row>
    <row r="1357" spans="4:12" s="1" customFormat="1">
      <c r="D1357" s="1" t="str">
        <f t="shared" si="39"/>
        <v/>
      </c>
      <c r="E1357" s="26"/>
      <c r="K1357" s="32"/>
      <c r="L1357" s="30"/>
    </row>
    <row r="1358" spans="4:12" s="1" customFormat="1">
      <c r="D1358" s="1" t="str">
        <f t="shared" si="39"/>
        <v/>
      </c>
      <c r="E1358" s="26"/>
      <c r="K1358" s="32"/>
      <c r="L1358" s="30"/>
    </row>
    <row r="1359" spans="4:12" s="1" customFormat="1">
      <c r="D1359" s="1" t="str">
        <f t="shared" si="39"/>
        <v/>
      </c>
      <c r="E1359" s="26"/>
      <c r="K1359" s="32"/>
      <c r="L1359" s="30"/>
    </row>
    <row r="1360" spans="4:12" s="1" customFormat="1">
      <c r="D1360" s="1" t="str">
        <f t="shared" si="39"/>
        <v/>
      </c>
      <c r="E1360" s="26"/>
      <c r="K1360" s="32"/>
      <c r="L1360" s="30"/>
    </row>
    <row r="1361" spans="4:12" s="1" customFormat="1">
      <c r="D1361" s="1" t="str">
        <f t="shared" si="39"/>
        <v/>
      </c>
      <c r="E1361" s="26"/>
      <c r="K1361" s="32"/>
      <c r="L1361" s="30"/>
    </row>
    <row r="1362" spans="4:12" s="1" customFormat="1">
      <c r="D1362" s="1" t="str">
        <f t="shared" si="39"/>
        <v/>
      </c>
      <c r="E1362" s="26"/>
      <c r="K1362" s="32"/>
      <c r="L1362" s="30"/>
    </row>
    <row r="1363" spans="4:12" s="1" customFormat="1">
      <c r="D1363" s="1" t="str">
        <f t="shared" si="39"/>
        <v/>
      </c>
      <c r="E1363" s="26"/>
      <c r="K1363" s="32"/>
      <c r="L1363" s="30"/>
    </row>
    <row r="1364" spans="4:12" s="1" customFormat="1">
      <c r="D1364" s="1" t="str">
        <f t="shared" si="39"/>
        <v/>
      </c>
      <c r="E1364" s="26"/>
      <c r="K1364" s="32"/>
      <c r="L1364" s="30"/>
    </row>
    <row r="1365" spans="4:12" s="1" customFormat="1">
      <c r="D1365" s="1" t="str">
        <f t="shared" si="39"/>
        <v/>
      </c>
      <c r="E1365" s="26"/>
      <c r="K1365" s="32"/>
      <c r="L1365" s="30"/>
    </row>
    <row r="1366" spans="4:12" s="1" customFormat="1">
      <c r="D1366" s="1" t="str">
        <f t="shared" si="39"/>
        <v/>
      </c>
      <c r="E1366" s="26"/>
      <c r="K1366" s="32"/>
      <c r="L1366" s="30"/>
    </row>
    <row r="1367" spans="4:12" s="1" customFormat="1">
      <c r="D1367" s="1" t="str">
        <f t="shared" si="39"/>
        <v/>
      </c>
      <c r="E1367" s="26"/>
      <c r="K1367" s="32"/>
      <c r="L1367" s="30"/>
    </row>
    <row r="1368" spans="4:12" s="1" customFormat="1">
      <c r="D1368" s="1" t="str">
        <f t="shared" si="39"/>
        <v/>
      </c>
      <c r="E1368" s="26"/>
      <c r="K1368" s="32"/>
      <c r="L1368" s="30"/>
    </row>
    <row r="1369" spans="4:12" s="1" customFormat="1">
      <c r="D1369" s="1" t="str">
        <f t="shared" si="39"/>
        <v/>
      </c>
      <c r="E1369" s="26"/>
      <c r="K1369" s="32"/>
      <c r="L1369" s="30"/>
    </row>
    <row r="1370" spans="4:12" s="1" customFormat="1">
      <c r="D1370" s="1" t="str">
        <f t="shared" si="39"/>
        <v/>
      </c>
      <c r="E1370" s="26"/>
      <c r="K1370" s="32"/>
      <c r="L1370" s="30"/>
    </row>
    <row r="1371" spans="4:12" s="1" customFormat="1">
      <c r="D1371" s="1" t="str">
        <f t="shared" si="39"/>
        <v/>
      </c>
      <c r="E1371" s="26"/>
      <c r="K1371" s="32"/>
      <c r="L1371" s="30"/>
    </row>
    <row r="1372" spans="4:12" s="1" customFormat="1">
      <c r="D1372" s="1" t="str">
        <f t="shared" si="39"/>
        <v/>
      </c>
      <c r="E1372" s="26"/>
      <c r="K1372" s="32"/>
      <c r="L1372" s="30"/>
    </row>
    <row r="1373" spans="4:12" s="1" customFormat="1">
      <c r="D1373" s="1" t="str">
        <f t="shared" si="39"/>
        <v/>
      </c>
      <c r="E1373" s="26"/>
      <c r="K1373" s="32"/>
      <c r="L1373" s="30"/>
    </row>
    <row r="1374" spans="4:12" s="1" customFormat="1">
      <c r="D1374" s="1" t="str">
        <f t="shared" si="39"/>
        <v/>
      </c>
      <c r="E1374" s="26"/>
      <c r="K1374" s="32"/>
      <c r="L1374" s="30"/>
    </row>
    <row r="1375" spans="4:12" s="1" customFormat="1">
      <c r="D1375" s="1" t="str">
        <f t="shared" si="39"/>
        <v/>
      </c>
      <c r="E1375" s="26"/>
      <c r="K1375" s="32"/>
      <c r="L1375" s="30"/>
    </row>
    <row r="1376" spans="4:12" s="1" customFormat="1">
      <c r="D1376" s="1" t="str">
        <f t="shared" si="39"/>
        <v/>
      </c>
      <c r="E1376" s="26"/>
      <c r="K1376" s="32"/>
      <c r="L1376" s="30"/>
    </row>
    <row r="1377" spans="4:12" s="1" customFormat="1">
      <c r="D1377" s="1" t="str">
        <f t="shared" si="39"/>
        <v/>
      </c>
      <c r="E1377" s="26"/>
      <c r="K1377" s="32"/>
      <c r="L1377" s="30"/>
    </row>
    <row r="1378" spans="4:12" s="1" customFormat="1">
      <c r="D1378" s="1" t="str">
        <f t="shared" si="39"/>
        <v/>
      </c>
      <c r="E1378" s="26"/>
      <c r="K1378" s="32"/>
      <c r="L1378" s="30"/>
    </row>
    <row r="1379" spans="4:12" s="1" customFormat="1">
      <c r="D1379" s="1" t="str">
        <f t="shared" si="39"/>
        <v/>
      </c>
      <c r="E1379" s="26"/>
      <c r="K1379" s="32"/>
      <c r="L1379" s="30"/>
    </row>
    <row r="1380" spans="4:12" s="1" customFormat="1">
      <c r="D1380" s="1" t="str">
        <f t="shared" si="39"/>
        <v/>
      </c>
      <c r="E1380" s="26"/>
      <c r="K1380" s="32"/>
      <c r="L1380" s="30"/>
    </row>
    <row r="1381" spans="4:12" s="1" customFormat="1">
      <c r="D1381" s="1" t="str">
        <f t="shared" si="39"/>
        <v/>
      </c>
      <c r="E1381" s="26"/>
      <c r="K1381" s="32"/>
      <c r="L1381" s="30"/>
    </row>
    <row r="1382" spans="4:12" s="1" customFormat="1">
      <c r="D1382" s="1" t="str">
        <f t="shared" si="39"/>
        <v/>
      </c>
      <c r="E1382" s="26"/>
      <c r="K1382" s="32"/>
      <c r="L1382" s="30"/>
    </row>
    <row r="1383" spans="4:12" s="1" customFormat="1">
      <c r="D1383" s="1" t="str">
        <f t="shared" si="39"/>
        <v/>
      </c>
      <c r="E1383" s="26"/>
      <c r="K1383" s="32"/>
      <c r="L1383" s="30"/>
    </row>
    <row r="1384" spans="4:12" s="1" customFormat="1">
      <c r="D1384" s="1" t="str">
        <f t="shared" si="39"/>
        <v/>
      </c>
      <c r="E1384" s="26"/>
      <c r="K1384" s="32"/>
      <c r="L1384" s="30"/>
    </row>
    <row r="1385" spans="4:12" s="1" customFormat="1">
      <c r="D1385" s="1" t="str">
        <f t="shared" si="39"/>
        <v/>
      </c>
      <c r="E1385" s="26"/>
      <c r="K1385" s="32"/>
      <c r="L1385" s="30"/>
    </row>
    <row r="1386" spans="4:12" s="1" customFormat="1">
      <c r="D1386" s="1" t="str">
        <f t="shared" si="39"/>
        <v/>
      </c>
      <c r="E1386" s="26"/>
      <c r="K1386" s="32"/>
      <c r="L1386" s="30"/>
    </row>
    <row r="1387" spans="4:12" s="1" customFormat="1">
      <c r="D1387" s="1" t="str">
        <f t="shared" si="39"/>
        <v/>
      </c>
      <c r="E1387" s="26"/>
      <c r="K1387" s="32"/>
      <c r="L1387" s="30"/>
    </row>
    <row r="1388" spans="4:12" s="1" customFormat="1">
      <c r="D1388" s="1" t="str">
        <f t="shared" si="39"/>
        <v/>
      </c>
      <c r="E1388" s="26"/>
      <c r="K1388" s="32"/>
      <c r="L1388" s="30"/>
    </row>
    <row r="1389" spans="4:12" s="1" customFormat="1">
      <c r="D1389" s="1" t="str">
        <f t="shared" si="39"/>
        <v/>
      </c>
      <c r="E1389" s="26"/>
      <c r="K1389" s="32"/>
      <c r="L1389" s="30"/>
    </row>
    <row r="1390" spans="4:12" s="1" customFormat="1">
      <c r="D1390" s="1" t="str">
        <f t="shared" si="39"/>
        <v/>
      </c>
      <c r="E1390" s="26"/>
      <c r="K1390" s="32"/>
      <c r="L1390" s="30"/>
    </row>
    <row r="1391" spans="4:12" s="1" customFormat="1">
      <c r="D1391" s="1" t="str">
        <f t="shared" si="39"/>
        <v/>
      </c>
      <c r="E1391" s="26"/>
      <c r="K1391" s="32"/>
      <c r="L1391" s="30"/>
    </row>
    <row r="1392" spans="4:12" s="1" customFormat="1">
      <c r="D1392" s="1" t="str">
        <f t="shared" si="39"/>
        <v/>
      </c>
      <c r="E1392" s="26"/>
      <c r="K1392" s="32"/>
      <c r="L1392" s="30"/>
    </row>
    <row r="1393" spans="4:12" s="1" customFormat="1">
      <c r="D1393" s="1" t="str">
        <f t="shared" si="39"/>
        <v/>
      </c>
      <c r="E1393" s="26"/>
      <c r="K1393" s="32"/>
      <c r="L1393" s="30"/>
    </row>
    <row r="1394" spans="4:12" s="1" customFormat="1">
      <c r="D1394" s="1" t="str">
        <f t="shared" si="39"/>
        <v/>
      </c>
      <c r="E1394" s="26"/>
      <c r="K1394" s="32"/>
      <c r="L1394" s="30"/>
    </row>
    <row r="1395" spans="4:12" s="1" customFormat="1">
      <c r="D1395" s="1" t="str">
        <f t="shared" si="39"/>
        <v/>
      </c>
      <c r="E1395" s="26"/>
      <c r="K1395" s="32"/>
      <c r="L1395" s="30"/>
    </row>
    <row r="1396" spans="4:12" s="1" customFormat="1">
      <c r="D1396" s="1" t="str">
        <f t="shared" si="39"/>
        <v/>
      </c>
      <c r="E1396" s="26"/>
      <c r="K1396" s="32"/>
      <c r="L1396" s="30"/>
    </row>
    <row r="1397" spans="4:12" s="1" customFormat="1">
      <c r="D1397" s="1" t="str">
        <f t="shared" si="39"/>
        <v/>
      </c>
      <c r="E1397" s="26"/>
      <c r="K1397" s="32"/>
      <c r="L1397" s="30"/>
    </row>
    <row r="1398" spans="4:12" s="1" customFormat="1">
      <c r="D1398" s="1" t="str">
        <f t="shared" si="39"/>
        <v/>
      </c>
      <c r="E1398" s="26"/>
      <c r="K1398" s="32"/>
      <c r="L1398" s="30"/>
    </row>
    <row r="1399" spans="4:12" s="1" customFormat="1">
      <c r="D1399" s="1" t="str">
        <f t="shared" si="39"/>
        <v/>
      </c>
      <c r="E1399" s="26"/>
      <c r="K1399" s="32"/>
      <c r="L1399" s="30"/>
    </row>
    <row r="1400" spans="4:12" s="1" customFormat="1">
      <c r="D1400" s="1" t="str">
        <f t="shared" si="39"/>
        <v/>
      </c>
      <c r="E1400" s="26"/>
      <c r="K1400" s="32"/>
      <c r="L1400" s="30"/>
    </row>
    <row r="1401" spans="4:12" s="1" customFormat="1">
      <c r="D1401" s="1" t="str">
        <f t="shared" si="39"/>
        <v/>
      </c>
      <c r="E1401" s="26"/>
      <c r="K1401" s="32"/>
      <c r="L1401" s="30"/>
    </row>
    <row r="1402" spans="4:12" s="1" customFormat="1">
      <c r="D1402" s="1" t="str">
        <f t="shared" si="39"/>
        <v/>
      </c>
      <c r="E1402" s="26"/>
      <c r="K1402" s="32"/>
      <c r="L1402" s="30"/>
    </row>
    <row r="1403" spans="4:12" s="1" customFormat="1">
      <c r="D1403" s="1" t="str">
        <f t="shared" si="39"/>
        <v/>
      </c>
      <c r="E1403" s="26"/>
      <c r="K1403" s="32"/>
      <c r="L1403" s="30"/>
    </row>
    <row r="1404" spans="4:12" s="1" customFormat="1">
      <c r="D1404" s="1" t="str">
        <f t="shared" si="39"/>
        <v/>
      </c>
      <c r="E1404" s="26"/>
      <c r="K1404" s="32"/>
      <c r="L1404" s="30"/>
    </row>
    <row r="1405" spans="4:12" s="1" customFormat="1">
      <c r="D1405" s="1" t="str">
        <f t="shared" si="39"/>
        <v/>
      </c>
      <c r="E1405" s="26"/>
      <c r="K1405" s="32"/>
      <c r="L1405" s="30"/>
    </row>
    <row r="1406" spans="4:12" s="1" customFormat="1">
      <c r="D1406" s="1" t="str">
        <f t="shared" si="39"/>
        <v/>
      </c>
      <c r="E1406" s="26"/>
      <c r="K1406" s="32"/>
      <c r="L1406" s="30"/>
    </row>
    <row r="1407" spans="4:12" s="1" customFormat="1">
      <c r="D1407" s="1" t="str">
        <f t="shared" si="39"/>
        <v/>
      </c>
      <c r="E1407" s="26"/>
      <c r="K1407" s="32"/>
      <c r="L1407" s="30"/>
    </row>
    <row r="1408" spans="4:12" s="1" customFormat="1">
      <c r="D1408" s="1" t="str">
        <f t="shared" si="39"/>
        <v/>
      </c>
      <c r="E1408" s="26"/>
      <c r="K1408" s="32"/>
      <c r="L1408" s="30"/>
    </row>
    <row r="1409" spans="4:12" s="1" customFormat="1">
      <c r="D1409" s="1" t="str">
        <f t="shared" si="39"/>
        <v/>
      </c>
      <c r="E1409" s="26"/>
      <c r="K1409" s="32"/>
      <c r="L1409" s="30"/>
    </row>
    <row r="1410" spans="4:12" s="1" customFormat="1">
      <c r="D1410" s="1" t="str">
        <f t="shared" si="39"/>
        <v/>
      </c>
      <c r="E1410" s="26"/>
      <c r="K1410" s="32"/>
      <c r="L1410" s="30"/>
    </row>
    <row r="1411" spans="4:12" s="1" customFormat="1">
      <c r="D1411" s="1" t="str">
        <f t="shared" si="39"/>
        <v/>
      </c>
      <c r="E1411" s="26"/>
      <c r="K1411" s="32"/>
      <c r="L1411" s="30"/>
    </row>
    <row r="1412" spans="4:12" s="1" customFormat="1">
      <c r="D1412" s="1" t="str">
        <f t="shared" si="39"/>
        <v/>
      </c>
      <c r="E1412" s="26"/>
      <c r="K1412" s="32"/>
      <c r="L1412" s="30"/>
    </row>
    <row r="1413" spans="4:12" s="1" customFormat="1">
      <c r="D1413" s="1" t="str">
        <f t="shared" si="39"/>
        <v/>
      </c>
      <c r="E1413" s="26"/>
      <c r="K1413" s="32"/>
      <c r="L1413" s="30"/>
    </row>
    <row r="1414" spans="4:12" s="1" customFormat="1">
      <c r="D1414" s="1" t="str">
        <f t="shared" si="39"/>
        <v/>
      </c>
      <c r="E1414" s="26"/>
      <c r="K1414" s="32"/>
      <c r="L1414" s="30"/>
    </row>
    <row r="1415" spans="4:12" s="1" customFormat="1">
      <c r="D1415" s="1" t="str">
        <f t="shared" si="39"/>
        <v/>
      </c>
      <c r="E1415" s="26"/>
      <c r="K1415" s="32"/>
      <c r="L1415" s="30"/>
    </row>
    <row r="1416" spans="4:12" s="1" customFormat="1">
      <c r="D1416" s="1" t="str">
        <f t="shared" ref="D1416:D1479" si="40">IF(F1416&lt;&gt;"",RIGHT(F1416, LEN(F1416) - FIND(" - ", F1416) - 2),"")</f>
        <v/>
      </c>
      <c r="E1416" s="26"/>
      <c r="K1416" s="32"/>
      <c r="L1416" s="30"/>
    </row>
    <row r="1417" spans="4:12" s="1" customFormat="1">
      <c r="D1417" s="1" t="str">
        <f t="shared" si="40"/>
        <v/>
      </c>
      <c r="E1417" s="26"/>
      <c r="K1417" s="32"/>
      <c r="L1417" s="30"/>
    </row>
    <row r="1418" spans="4:12" s="1" customFormat="1">
      <c r="D1418" s="1" t="str">
        <f t="shared" si="40"/>
        <v/>
      </c>
      <c r="E1418" s="26"/>
      <c r="K1418" s="32"/>
      <c r="L1418" s="30"/>
    </row>
    <row r="1419" spans="4:12" s="1" customFormat="1">
      <c r="D1419" s="1" t="str">
        <f t="shared" si="40"/>
        <v/>
      </c>
      <c r="E1419" s="26"/>
      <c r="K1419" s="32"/>
      <c r="L1419" s="30"/>
    </row>
    <row r="1420" spans="4:12" s="1" customFormat="1">
      <c r="D1420" s="1" t="str">
        <f t="shared" si="40"/>
        <v/>
      </c>
      <c r="E1420" s="26"/>
      <c r="K1420" s="32"/>
      <c r="L1420" s="30"/>
    </row>
    <row r="1421" spans="4:12" s="1" customFormat="1">
      <c r="D1421" s="1" t="str">
        <f t="shared" si="40"/>
        <v/>
      </c>
      <c r="E1421" s="26"/>
      <c r="K1421" s="32"/>
      <c r="L1421" s="30"/>
    </row>
    <row r="1422" spans="4:12" s="1" customFormat="1">
      <c r="D1422" s="1" t="str">
        <f t="shared" si="40"/>
        <v/>
      </c>
      <c r="E1422" s="26"/>
      <c r="K1422" s="32"/>
      <c r="L1422" s="30"/>
    </row>
    <row r="1423" spans="4:12" s="1" customFormat="1">
      <c r="D1423" s="1" t="str">
        <f t="shared" si="40"/>
        <v/>
      </c>
      <c r="E1423" s="26"/>
      <c r="K1423" s="32"/>
      <c r="L1423" s="30"/>
    </row>
    <row r="1424" spans="4:12" s="1" customFormat="1">
      <c r="D1424" s="1" t="str">
        <f t="shared" si="40"/>
        <v/>
      </c>
      <c r="E1424" s="26"/>
      <c r="K1424" s="32"/>
      <c r="L1424" s="30"/>
    </row>
    <row r="1425" spans="4:12" s="1" customFormat="1">
      <c r="D1425" s="1" t="str">
        <f t="shared" si="40"/>
        <v/>
      </c>
      <c r="E1425" s="26"/>
      <c r="K1425" s="32"/>
      <c r="L1425" s="30"/>
    </row>
    <row r="1426" spans="4:12" s="1" customFormat="1">
      <c r="D1426" s="1" t="str">
        <f t="shared" si="40"/>
        <v/>
      </c>
      <c r="E1426" s="26"/>
      <c r="K1426" s="32"/>
      <c r="L1426" s="30"/>
    </row>
    <row r="1427" spans="4:12" s="1" customFormat="1">
      <c r="D1427" s="1" t="str">
        <f t="shared" si="40"/>
        <v/>
      </c>
      <c r="E1427" s="26"/>
      <c r="K1427" s="32"/>
      <c r="L1427" s="30"/>
    </row>
    <row r="1428" spans="4:12" s="1" customFormat="1">
      <c r="D1428" s="1" t="str">
        <f t="shared" si="40"/>
        <v/>
      </c>
      <c r="E1428" s="26"/>
      <c r="K1428" s="32"/>
      <c r="L1428" s="30"/>
    </row>
    <row r="1429" spans="4:12" s="1" customFormat="1">
      <c r="D1429" s="1" t="str">
        <f t="shared" si="40"/>
        <v/>
      </c>
      <c r="E1429" s="26"/>
      <c r="K1429" s="32"/>
      <c r="L1429" s="30"/>
    </row>
    <row r="1430" spans="4:12" s="1" customFormat="1">
      <c r="D1430" s="1" t="str">
        <f t="shared" si="40"/>
        <v/>
      </c>
      <c r="E1430" s="26"/>
      <c r="K1430" s="32"/>
      <c r="L1430" s="30"/>
    </row>
    <row r="1431" spans="4:12" s="1" customFormat="1">
      <c r="D1431" s="1" t="str">
        <f t="shared" si="40"/>
        <v/>
      </c>
      <c r="E1431" s="26"/>
      <c r="K1431" s="32"/>
      <c r="L1431" s="30"/>
    </row>
    <row r="1432" spans="4:12" s="1" customFormat="1">
      <c r="D1432" s="1" t="str">
        <f t="shared" si="40"/>
        <v/>
      </c>
      <c r="E1432" s="26"/>
      <c r="K1432" s="32"/>
      <c r="L1432" s="30"/>
    </row>
    <row r="1433" spans="4:12" s="1" customFormat="1">
      <c r="D1433" s="1" t="str">
        <f t="shared" si="40"/>
        <v/>
      </c>
      <c r="E1433" s="26"/>
      <c r="K1433" s="32"/>
      <c r="L1433" s="30"/>
    </row>
    <row r="1434" spans="4:12" s="1" customFormat="1">
      <c r="D1434" s="1" t="str">
        <f t="shared" si="40"/>
        <v/>
      </c>
      <c r="E1434" s="26"/>
      <c r="K1434" s="32"/>
      <c r="L1434" s="30"/>
    </row>
    <row r="1435" spans="4:12" s="1" customFormat="1">
      <c r="D1435" s="1" t="str">
        <f t="shared" si="40"/>
        <v/>
      </c>
      <c r="E1435" s="26"/>
      <c r="K1435" s="32"/>
      <c r="L1435" s="30"/>
    </row>
    <row r="1436" spans="4:12" s="1" customFormat="1">
      <c r="D1436" s="1" t="str">
        <f t="shared" si="40"/>
        <v/>
      </c>
      <c r="E1436" s="26"/>
      <c r="K1436" s="32"/>
      <c r="L1436" s="30"/>
    </row>
    <row r="1437" spans="4:12" s="1" customFormat="1">
      <c r="D1437" s="1" t="str">
        <f t="shared" si="40"/>
        <v/>
      </c>
      <c r="E1437" s="26"/>
      <c r="K1437" s="32"/>
      <c r="L1437" s="30"/>
    </row>
    <row r="1438" spans="4:12" s="1" customFormat="1">
      <c r="D1438" s="1" t="str">
        <f t="shared" si="40"/>
        <v/>
      </c>
      <c r="E1438" s="26"/>
      <c r="K1438" s="32"/>
      <c r="L1438" s="30"/>
    </row>
    <row r="1439" spans="4:12" s="1" customFormat="1">
      <c r="D1439" s="1" t="str">
        <f t="shared" si="40"/>
        <v/>
      </c>
      <c r="E1439" s="26"/>
      <c r="K1439" s="32"/>
      <c r="L1439" s="30"/>
    </row>
    <row r="1440" spans="4:12" s="1" customFormat="1">
      <c r="D1440" s="1" t="str">
        <f t="shared" si="40"/>
        <v/>
      </c>
      <c r="E1440" s="26"/>
      <c r="K1440" s="32"/>
      <c r="L1440" s="30"/>
    </row>
    <row r="1441" spans="4:12" s="1" customFormat="1">
      <c r="D1441" s="1" t="str">
        <f t="shared" si="40"/>
        <v/>
      </c>
      <c r="E1441" s="26"/>
      <c r="K1441" s="32"/>
      <c r="L1441" s="30"/>
    </row>
    <row r="1442" spans="4:12" s="1" customFormat="1">
      <c r="D1442" s="1" t="str">
        <f t="shared" si="40"/>
        <v/>
      </c>
      <c r="E1442" s="26"/>
      <c r="K1442" s="32"/>
      <c r="L1442" s="30"/>
    </row>
    <row r="1443" spans="4:12" s="1" customFormat="1">
      <c r="D1443" s="1" t="str">
        <f t="shared" si="40"/>
        <v/>
      </c>
      <c r="E1443" s="26"/>
      <c r="K1443" s="32"/>
      <c r="L1443" s="30"/>
    </row>
    <row r="1444" spans="4:12" s="1" customFormat="1">
      <c r="D1444" s="1" t="str">
        <f t="shared" si="40"/>
        <v/>
      </c>
      <c r="E1444" s="26"/>
      <c r="K1444" s="32"/>
      <c r="L1444" s="30"/>
    </row>
    <row r="1445" spans="4:12" s="1" customFormat="1">
      <c r="D1445" s="1" t="str">
        <f t="shared" si="40"/>
        <v/>
      </c>
      <c r="E1445" s="26"/>
      <c r="K1445" s="32"/>
      <c r="L1445" s="30"/>
    </row>
    <row r="1446" spans="4:12" s="1" customFormat="1">
      <c r="D1446" s="1" t="str">
        <f t="shared" si="40"/>
        <v/>
      </c>
      <c r="E1446" s="26"/>
      <c r="K1446" s="32"/>
      <c r="L1446" s="30"/>
    </row>
    <row r="1447" spans="4:12" s="1" customFormat="1">
      <c r="D1447" s="1" t="str">
        <f t="shared" si="40"/>
        <v/>
      </c>
      <c r="E1447" s="26"/>
      <c r="K1447" s="32"/>
      <c r="L1447" s="30"/>
    </row>
    <row r="1448" spans="4:12" s="1" customFormat="1">
      <c r="D1448" s="1" t="str">
        <f t="shared" si="40"/>
        <v/>
      </c>
      <c r="E1448" s="26"/>
      <c r="K1448" s="32"/>
      <c r="L1448" s="30"/>
    </row>
    <row r="1449" spans="4:12" s="1" customFormat="1">
      <c r="D1449" s="1" t="str">
        <f t="shared" si="40"/>
        <v/>
      </c>
      <c r="E1449" s="26"/>
      <c r="K1449" s="32"/>
      <c r="L1449" s="30"/>
    </row>
    <row r="1450" spans="4:12" s="1" customFormat="1">
      <c r="D1450" s="1" t="str">
        <f t="shared" si="40"/>
        <v/>
      </c>
      <c r="E1450" s="26"/>
      <c r="K1450" s="32"/>
      <c r="L1450" s="30"/>
    </row>
    <row r="1451" spans="4:12" s="1" customFormat="1">
      <c r="D1451" s="1" t="str">
        <f t="shared" si="40"/>
        <v/>
      </c>
      <c r="E1451" s="26"/>
      <c r="K1451" s="32"/>
      <c r="L1451" s="30"/>
    </row>
    <row r="1452" spans="4:12" s="1" customFormat="1">
      <c r="D1452" s="1" t="str">
        <f t="shared" si="40"/>
        <v/>
      </c>
      <c r="E1452" s="26"/>
      <c r="K1452" s="32"/>
      <c r="L1452" s="30"/>
    </row>
    <row r="1453" spans="4:12" s="1" customFormat="1">
      <c r="D1453" s="1" t="str">
        <f t="shared" si="40"/>
        <v/>
      </c>
      <c r="E1453" s="26"/>
      <c r="K1453" s="32"/>
      <c r="L1453" s="30"/>
    </row>
    <row r="1454" spans="4:12" s="1" customFormat="1">
      <c r="D1454" s="1" t="str">
        <f t="shared" si="40"/>
        <v/>
      </c>
      <c r="E1454" s="26"/>
      <c r="K1454" s="32"/>
      <c r="L1454" s="30"/>
    </row>
    <row r="1455" spans="4:12" s="1" customFormat="1">
      <c r="D1455" s="1" t="str">
        <f t="shared" si="40"/>
        <v/>
      </c>
      <c r="E1455" s="26"/>
      <c r="K1455" s="32"/>
      <c r="L1455" s="30"/>
    </row>
    <row r="1456" spans="4:12" s="1" customFormat="1">
      <c r="D1456" s="1" t="str">
        <f t="shared" si="40"/>
        <v/>
      </c>
      <c r="E1456" s="26"/>
      <c r="K1456" s="32"/>
      <c r="L1456" s="30"/>
    </row>
    <row r="1457" spans="4:12" s="1" customFormat="1">
      <c r="D1457" s="1" t="str">
        <f t="shared" si="40"/>
        <v/>
      </c>
      <c r="E1457" s="26"/>
      <c r="K1457" s="32"/>
      <c r="L1457" s="30"/>
    </row>
    <row r="1458" spans="4:12" s="1" customFormat="1">
      <c r="D1458" s="1" t="str">
        <f t="shared" si="40"/>
        <v/>
      </c>
      <c r="E1458" s="26"/>
      <c r="K1458" s="32"/>
      <c r="L1458" s="30"/>
    </row>
    <row r="1459" spans="4:12" s="1" customFormat="1">
      <c r="D1459" s="1" t="str">
        <f t="shared" si="40"/>
        <v/>
      </c>
      <c r="E1459" s="26"/>
      <c r="K1459" s="32"/>
      <c r="L1459" s="30"/>
    </row>
    <row r="1460" spans="4:12" s="1" customFormat="1">
      <c r="D1460" s="1" t="str">
        <f t="shared" si="40"/>
        <v/>
      </c>
      <c r="E1460" s="26"/>
      <c r="K1460" s="32"/>
      <c r="L1460" s="30"/>
    </row>
    <row r="1461" spans="4:12" s="1" customFormat="1">
      <c r="D1461" s="1" t="str">
        <f t="shared" si="40"/>
        <v/>
      </c>
      <c r="E1461" s="26"/>
      <c r="K1461" s="32"/>
      <c r="L1461" s="30"/>
    </row>
    <row r="1462" spans="4:12" s="1" customFormat="1">
      <c r="D1462" s="1" t="str">
        <f t="shared" si="40"/>
        <v/>
      </c>
      <c r="E1462" s="26"/>
      <c r="K1462" s="32"/>
      <c r="L1462" s="30"/>
    </row>
    <row r="1463" spans="4:12" s="1" customFormat="1">
      <c r="D1463" s="1" t="str">
        <f t="shared" si="40"/>
        <v/>
      </c>
      <c r="E1463" s="26"/>
      <c r="K1463" s="32"/>
      <c r="L1463" s="30"/>
    </row>
    <row r="1464" spans="4:12" s="1" customFormat="1">
      <c r="D1464" s="1" t="str">
        <f t="shared" si="40"/>
        <v/>
      </c>
      <c r="E1464" s="26"/>
      <c r="K1464" s="32"/>
      <c r="L1464" s="30"/>
    </row>
    <row r="1465" spans="4:12" s="1" customFormat="1">
      <c r="D1465" s="1" t="str">
        <f t="shared" si="40"/>
        <v/>
      </c>
      <c r="E1465" s="26"/>
      <c r="K1465" s="32"/>
      <c r="L1465" s="30"/>
    </row>
    <row r="1466" spans="4:12" s="1" customFormat="1">
      <c r="D1466" s="1" t="str">
        <f t="shared" si="40"/>
        <v/>
      </c>
      <c r="E1466" s="26"/>
      <c r="K1466" s="32"/>
      <c r="L1466" s="30"/>
    </row>
    <row r="1467" spans="4:12" s="1" customFormat="1">
      <c r="D1467" s="1" t="str">
        <f t="shared" si="40"/>
        <v/>
      </c>
      <c r="E1467" s="26"/>
      <c r="K1467" s="32"/>
      <c r="L1467" s="30"/>
    </row>
    <row r="1468" spans="4:12" s="1" customFormat="1">
      <c r="D1468" s="1" t="str">
        <f t="shared" si="40"/>
        <v/>
      </c>
      <c r="E1468" s="26"/>
      <c r="K1468" s="32"/>
      <c r="L1468" s="30"/>
    </row>
    <row r="1469" spans="4:12" s="1" customFormat="1">
      <c r="D1469" s="1" t="str">
        <f t="shared" si="40"/>
        <v/>
      </c>
      <c r="E1469" s="26"/>
      <c r="K1469" s="32"/>
      <c r="L1469" s="30"/>
    </row>
    <row r="1470" spans="4:12" s="1" customFormat="1">
      <c r="D1470" s="1" t="str">
        <f t="shared" si="40"/>
        <v/>
      </c>
      <c r="E1470" s="26"/>
      <c r="K1470" s="32"/>
      <c r="L1470" s="30"/>
    </row>
    <row r="1471" spans="4:12" s="1" customFormat="1">
      <c r="D1471" s="1" t="str">
        <f t="shared" si="40"/>
        <v/>
      </c>
      <c r="E1471" s="26"/>
      <c r="K1471" s="32"/>
      <c r="L1471" s="30"/>
    </row>
    <row r="1472" spans="4:12" s="1" customFormat="1">
      <c r="D1472" s="1" t="str">
        <f t="shared" si="40"/>
        <v/>
      </c>
      <c r="E1472" s="26"/>
      <c r="K1472" s="32"/>
      <c r="L1472" s="30"/>
    </row>
    <row r="1473" spans="4:12" s="1" customFormat="1">
      <c r="D1473" s="1" t="str">
        <f t="shared" si="40"/>
        <v/>
      </c>
      <c r="E1473" s="26"/>
      <c r="K1473" s="32"/>
      <c r="L1473" s="30"/>
    </row>
    <row r="1474" spans="4:12" s="1" customFormat="1">
      <c r="D1474" s="1" t="str">
        <f t="shared" si="40"/>
        <v/>
      </c>
      <c r="E1474" s="26"/>
      <c r="K1474" s="32"/>
      <c r="L1474" s="30"/>
    </row>
    <row r="1475" spans="4:12" s="1" customFormat="1">
      <c r="D1475" s="1" t="str">
        <f t="shared" si="40"/>
        <v/>
      </c>
      <c r="E1475" s="26"/>
      <c r="K1475" s="32"/>
      <c r="L1475" s="30"/>
    </row>
    <row r="1476" spans="4:12" s="1" customFormat="1">
      <c r="D1476" s="1" t="str">
        <f t="shared" si="40"/>
        <v/>
      </c>
      <c r="E1476" s="26"/>
      <c r="K1476" s="32"/>
      <c r="L1476" s="30"/>
    </row>
    <row r="1477" spans="4:12" s="1" customFormat="1">
      <c r="D1477" s="1" t="str">
        <f t="shared" si="40"/>
        <v/>
      </c>
      <c r="E1477" s="26"/>
      <c r="K1477" s="32"/>
      <c r="L1477" s="30"/>
    </row>
    <row r="1478" spans="4:12" s="1" customFormat="1">
      <c r="D1478" s="1" t="str">
        <f t="shared" si="40"/>
        <v/>
      </c>
      <c r="E1478" s="26"/>
      <c r="K1478" s="32"/>
      <c r="L1478" s="30"/>
    </row>
    <row r="1479" spans="4:12" s="1" customFormat="1">
      <c r="D1479" s="1" t="str">
        <f t="shared" si="40"/>
        <v/>
      </c>
      <c r="E1479" s="26"/>
      <c r="K1479" s="32"/>
      <c r="L1479" s="30"/>
    </row>
    <row r="1480" spans="4:12" s="1" customFormat="1">
      <c r="D1480" s="1" t="str">
        <f t="shared" ref="D1480:D1543" si="41">IF(F1480&lt;&gt;"",RIGHT(F1480, LEN(F1480) - FIND(" - ", F1480) - 2),"")</f>
        <v/>
      </c>
      <c r="E1480" s="26"/>
      <c r="K1480" s="32"/>
      <c r="L1480" s="30"/>
    </row>
    <row r="1481" spans="4:12" s="1" customFormat="1">
      <c r="D1481" s="1" t="str">
        <f t="shared" si="41"/>
        <v/>
      </c>
      <c r="E1481" s="26"/>
      <c r="K1481" s="32"/>
      <c r="L1481" s="30"/>
    </row>
    <row r="1482" spans="4:12" s="1" customFormat="1">
      <c r="D1482" s="1" t="str">
        <f t="shared" si="41"/>
        <v/>
      </c>
      <c r="E1482" s="26"/>
      <c r="K1482" s="32"/>
      <c r="L1482" s="30"/>
    </row>
    <row r="1483" spans="4:12" s="1" customFormat="1">
      <c r="D1483" s="1" t="str">
        <f t="shared" si="41"/>
        <v/>
      </c>
      <c r="E1483" s="26"/>
      <c r="K1483" s="32"/>
      <c r="L1483" s="30"/>
    </row>
    <row r="1484" spans="4:12" s="1" customFormat="1">
      <c r="D1484" s="1" t="str">
        <f t="shared" si="41"/>
        <v/>
      </c>
      <c r="E1484" s="26"/>
      <c r="K1484" s="32"/>
      <c r="L1484" s="30"/>
    </row>
    <row r="1485" spans="4:12" s="1" customFormat="1">
      <c r="D1485" s="1" t="str">
        <f t="shared" si="41"/>
        <v/>
      </c>
      <c r="E1485" s="26"/>
      <c r="K1485" s="32"/>
      <c r="L1485" s="30"/>
    </row>
    <row r="1486" spans="4:12" s="1" customFormat="1">
      <c r="D1486" s="1" t="str">
        <f t="shared" si="41"/>
        <v/>
      </c>
      <c r="E1486" s="26"/>
      <c r="K1486" s="32"/>
      <c r="L1486" s="30"/>
    </row>
    <row r="1487" spans="4:12" s="1" customFormat="1">
      <c r="D1487" s="1" t="str">
        <f t="shared" si="41"/>
        <v/>
      </c>
      <c r="E1487" s="26"/>
      <c r="K1487" s="32"/>
      <c r="L1487" s="30"/>
    </row>
    <row r="1488" spans="4:12" s="1" customFormat="1">
      <c r="D1488" s="1" t="str">
        <f t="shared" si="41"/>
        <v/>
      </c>
      <c r="E1488" s="26"/>
      <c r="K1488" s="32"/>
      <c r="L1488" s="30"/>
    </row>
    <row r="1489" spans="4:12" s="1" customFormat="1">
      <c r="D1489" s="1" t="str">
        <f t="shared" si="41"/>
        <v/>
      </c>
      <c r="E1489" s="26"/>
      <c r="K1489" s="32"/>
      <c r="L1489" s="30"/>
    </row>
    <row r="1490" spans="4:12" s="1" customFormat="1">
      <c r="D1490" s="1" t="str">
        <f t="shared" si="41"/>
        <v/>
      </c>
      <c r="E1490" s="26"/>
      <c r="K1490" s="32"/>
      <c r="L1490" s="30"/>
    </row>
    <row r="1491" spans="4:12" s="1" customFormat="1">
      <c r="D1491" s="1" t="str">
        <f t="shared" si="41"/>
        <v/>
      </c>
      <c r="E1491" s="26"/>
      <c r="K1491" s="32"/>
      <c r="L1491" s="30"/>
    </row>
    <row r="1492" spans="4:12" s="1" customFormat="1">
      <c r="D1492" s="1" t="str">
        <f t="shared" si="41"/>
        <v/>
      </c>
      <c r="E1492" s="26"/>
      <c r="K1492" s="32"/>
      <c r="L1492" s="30"/>
    </row>
    <row r="1493" spans="4:12" s="1" customFormat="1">
      <c r="D1493" s="1" t="str">
        <f t="shared" si="41"/>
        <v/>
      </c>
      <c r="E1493" s="26"/>
      <c r="K1493" s="32"/>
      <c r="L1493" s="30"/>
    </row>
    <row r="1494" spans="4:12" s="1" customFormat="1">
      <c r="D1494" s="1" t="str">
        <f t="shared" si="41"/>
        <v/>
      </c>
      <c r="E1494" s="26"/>
      <c r="K1494" s="32"/>
      <c r="L1494" s="30"/>
    </row>
    <row r="1495" spans="4:12" s="1" customFormat="1">
      <c r="D1495" s="1" t="str">
        <f t="shared" si="41"/>
        <v/>
      </c>
      <c r="E1495" s="26"/>
      <c r="K1495" s="32"/>
      <c r="L1495" s="30"/>
    </row>
    <row r="1496" spans="4:12" s="1" customFormat="1">
      <c r="D1496" s="1" t="str">
        <f t="shared" si="41"/>
        <v/>
      </c>
      <c r="E1496" s="26"/>
      <c r="K1496" s="32"/>
      <c r="L1496" s="30"/>
    </row>
    <row r="1497" spans="4:12" s="1" customFormat="1">
      <c r="D1497" s="1" t="str">
        <f t="shared" si="41"/>
        <v/>
      </c>
      <c r="E1497" s="26"/>
      <c r="K1497" s="32"/>
      <c r="L1497" s="30"/>
    </row>
    <row r="1498" spans="4:12" s="1" customFormat="1">
      <c r="D1498" s="1" t="str">
        <f t="shared" si="41"/>
        <v/>
      </c>
      <c r="E1498" s="26"/>
      <c r="K1498" s="32"/>
      <c r="L1498" s="30"/>
    </row>
    <row r="1499" spans="4:12" s="1" customFormat="1">
      <c r="D1499" s="1" t="str">
        <f t="shared" si="41"/>
        <v/>
      </c>
      <c r="E1499" s="26"/>
      <c r="K1499" s="32"/>
      <c r="L1499" s="30"/>
    </row>
    <row r="1500" spans="4:12" s="1" customFormat="1">
      <c r="D1500" s="1" t="str">
        <f t="shared" si="41"/>
        <v/>
      </c>
      <c r="E1500" s="26"/>
      <c r="K1500" s="32"/>
      <c r="L1500" s="30"/>
    </row>
    <row r="1501" spans="4:12" s="1" customFormat="1">
      <c r="D1501" s="1" t="str">
        <f t="shared" si="41"/>
        <v/>
      </c>
      <c r="E1501" s="26"/>
      <c r="K1501" s="32"/>
      <c r="L1501" s="30"/>
    </row>
    <row r="1502" spans="4:12" s="1" customFormat="1">
      <c r="D1502" s="1" t="str">
        <f t="shared" si="41"/>
        <v/>
      </c>
      <c r="E1502" s="26"/>
      <c r="K1502" s="32"/>
      <c r="L1502" s="30"/>
    </row>
    <row r="1503" spans="4:12" s="1" customFormat="1">
      <c r="D1503" s="1" t="str">
        <f t="shared" si="41"/>
        <v/>
      </c>
      <c r="E1503" s="26"/>
      <c r="K1503" s="32"/>
      <c r="L1503" s="30"/>
    </row>
    <row r="1504" spans="4:12" s="1" customFormat="1">
      <c r="D1504" s="1" t="str">
        <f t="shared" si="41"/>
        <v/>
      </c>
      <c r="E1504" s="26"/>
      <c r="K1504" s="32"/>
      <c r="L1504" s="30"/>
    </row>
    <row r="1505" spans="4:12" s="1" customFormat="1">
      <c r="D1505" s="1" t="str">
        <f t="shared" si="41"/>
        <v/>
      </c>
      <c r="E1505" s="26"/>
      <c r="K1505" s="32"/>
      <c r="L1505" s="30"/>
    </row>
    <row r="1506" spans="4:12" s="1" customFormat="1">
      <c r="D1506" s="1" t="str">
        <f t="shared" si="41"/>
        <v/>
      </c>
      <c r="E1506" s="26"/>
      <c r="K1506" s="32"/>
      <c r="L1506" s="30"/>
    </row>
    <row r="1507" spans="4:12" s="1" customFormat="1">
      <c r="D1507" s="1" t="str">
        <f t="shared" si="41"/>
        <v/>
      </c>
      <c r="E1507" s="26"/>
      <c r="K1507" s="32"/>
      <c r="L1507" s="30"/>
    </row>
    <row r="1508" spans="4:12" s="1" customFormat="1">
      <c r="D1508" s="1" t="str">
        <f t="shared" si="41"/>
        <v/>
      </c>
      <c r="E1508" s="26"/>
      <c r="K1508" s="32"/>
      <c r="L1508" s="30"/>
    </row>
    <row r="1509" spans="4:12" s="1" customFormat="1">
      <c r="D1509" s="1" t="str">
        <f t="shared" si="41"/>
        <v/>
      </c>
      <c r="E1509" s="26"/>
      <c r="K1509" s="32"/>
      <c r="L1509" s="30"/>
    </row>
    <row r="1510" spans="4:12" s="1" customFormat="1">
      <c r="D1510" s="1" t="str">
        <f t="shared" si="41"/>
        <v/>
      </c>
      <c r="E1510" s="26"/>
      <c r="K1510" s="32"/>
      <c r="L1510" s="30"/>
    </row>
    <row r="1511" spans="4:12" s="1" customFormat="1">
      <c r="D1511" s="1" t="str">
        <f t="shared" si="41"/>
        <v/>
      </c>
      <c r="E1511" s="26"/>
      <c r="K1511" s="32"/>
      <c r="L1511" s="30"/>
    </row>
    <row r="1512" spans="4:12" s="1" customFormat="1">
      <c r="D1512" s="1" t="str">
        <f t="shared" si="41"/>
        <v/>
      </c>
      <c r="E1512" s="26"/>
      <c r="K1512" s="32"/>
      <c r="L1512" s="30"/>
    </row>
    <row r="1513" spans="4:12" s="1" customFormat="1">
      <c r="D1513" s="1" t="str">
        <f t="shared" si="41"/>
        <v/>
      </c>
      <c r="E1513" s="26"/>
      <c r="K1513" s="32"/>
      <c r="L1513" s="30"/>
    </row>
    <row r="1514" spans="4:12" s="1" customFormat="1">
      <c r="D1514" s="1" t="str">
        <f t="shared" si="41"/>
        <v/>
      </c>
      <c r="E1514" s="26"/>
      <c r="K1514" s="32"/>
      <c r="L1514" s="30"/>
    </row>
    <row r="1515" spans="4:12" s="1" customFormat="1">
      <c r="D1515" s="1" t="str">
        <f t="shared" si="41"/>
        <v/>
      </c>
      <c r="E1515" s="26"/>
      <c r="K1515" s="32"/>
      <c r="L1515" s="30"/>
    </row>
    <row r="1516" spans="4:12" s="1" customFormat="1">
      <c r="D1516" s="1" t="str">
        <f t="shared" si="41"/>
        <v/>
      </c>
      <c r="E1516" s="26"/>
      <c r="K1516" s="32"/>
      <c r="L1516" s="30"/>
    </row>
    <row r="1517" spans="4:12" s="1" customFormat="1">
      <c r="D1517" s="1" t="str">
        <f t="shared" si="41"/>
        <v/>
      </c>
      <c r="E1517" s="26"/>
      <c r="K1517" s="32"/>
      <c r="L1517" s="30"/>
    </row>
    <row r="1518" spans="4:12" s="1" customFormat="1">
      <c r="D1518" s="1" t="str">
        <f t="shared" si="41"/>
        <v/>
      </c>
      <c r="E1518" s="26"/>
      <c r="K1518" s="32"/>
      <c r="L1518" s="30"/>
    </row>
    <row r="1519" spans="4:12" s="1" customFormat="1">
      <c r="D1519" s="1" t="str">
        <f t="shared" si="41"/>
        <v/>
      </c>
      <c r="E1519" s="26"/>
      <c r="K1519" s="32"/>
      <c r="L1519" s="30"/>
    </row>
    <row r="1520" spans="4:12" s="1" customFormat="1">
      <c r="D1520" s="1" t="str">
        <f t="shared" si="41"/>
        <v/>
      </c>
      <c r="E1520" s="26"/>
      <c r="K1520" s="32"/>
      <c r="L1520" s="30"/>
    </row>
    <row r="1521" spans="4:12" s="1" customFormat="1">
      <c r="D1521" s="1" t="str">
        <f t="shared" si="41"/>
        <v/>
      </c>
      <c r="E1521" s="26"/>
      <c r="K1521" s="32"/>
      <c r="L1521" s="30"/>
    </row>
    <row r="1522" spans="4:12" s="1" customFormat="1">
      <c r="D1522" s="1" t="str">
        <f t="shared" si="41"/>
        <v/>
      </c>
      <c r="E1522" s="26"/>
      <c r="K1522" s="32"/>
      <c r="L1522" s="30"/>
    </row>
    <row r="1523" spans="4:12" s="1" customFormat="1">
      <c r="D1523" s="1" t="str">
        <f t="shared" si="41"/>
        <v/>
      </c>
      <c r="E1523" s="26"/>
      <c r="K1523" s="32"/>
      <c r="L1523" s="30"/>
    </row>
    <row r="1524" spans="4:12" s="1" customFormat="1">
      <c r="D1524" s="1" t="str">
        <f t="shared" si="41"/>
        <v/>
      </c>
      <c r="E1524" s="26"/>
      <c r="K1524" s="32"/>
      <c r="L1524" s="30"/>
    </row>
    <row r="1525" spans="4:12" s="1" customFormat="1">
      <c r="D1525" s="1" t="str">
        <f t="shared" si="41"/>
        <v/>
      </c>
      <c r="E1525" s="26"/>
      <c r="K1525" s="32"/>
      <c r="L1525" s="30"/>
    </row>
    <row r="1526" spans="4:12" s="1" customFormat="1">
      <c r="D1526" s="1" t="str">
        <f t="shared" si="41"/>
        <v/>
      </c>
      <c r="E1526" s="26"/>
      <c r="K1526" s="32"/>
      <c r="L1526" s="30"/>
    </row>
    <row r="1527" spans="4:12" s="1" customFormat="1">
      <c r="D1527" s="1" t="str">
        <f t="shared" si="41"/>
        <v/>
      </c>
      <c r="E1527" s="26"/>
      <c r="K1527" s="32"/>
      <c r="L1527" s="30"/>
    </row>
    <row r="1528" spans="4:12" s="1" customFormat="1">
      <c r="D1528" s="1" t="str">
        <f t="shared" si="41"/>
        <v/>
      </c>
      <c r="E1528" s="26"/>
      <c r="K1528" s="32"/>
      <c r="L1528" s="30"/>
    </row>
    <row r="1529" spans="4:12" s="1" customFormat="1">
      <c r="D1529" s="1" t="str">
        <f t="shared" si="41"/>
        <v/>
      </c>
      <c r="E1529" s="26"/>
      <c r="K1529" s="32"/>
      <c r="L1529" s="30"/>
    </row>
    <row r="1530" spans="4:12" s="1" customFormat="1">
      <c r="D1530" s="1" t="str">
        <f t="shared" si="41"/>
        <v/>
      </c>
      <c r="E1530" s="26"/>
      <c r="K1530" s="32"/>
      <c r="L1530" s="30"/>
    </row>
    <row r="1531" spans="4:12" s="1" customFormat="1">
      <c r="D1531" s="1" t="str">
        <f t="shared" si="41"/>
        <v/>
      </c>
      <c r="E1531" s="26"/>
      <c r="K1531" s="32"/>
      <c r="L1531" s="30"/>
    </row>
    <row r="1532" spans="4:12" s="1" customFormat="1">
      <c r="D1532" s="1" t="str">
        <f t="shared" si="41"/>
        <v/>
      </c>
      <c r="E1532" s="26"/>
      <c r="K1532" s="32"/>
      <c r="L1532" s="30"/>
    </row>
    <row r="1533" spans="4:12" s="1" customFormat="1">
      <c r="D1533" s="1" t="str">
        <f t="shared" si="41"/>
        <v/>
      </c>
      <c r="E1533" s="26"/>
      <c r="K1533" s="32"/>
      <c r="L1533" s="30"/>
    </row>
    <row r="1534" spans="4:12" s="1" customFormat="1">
      <c r="D1534" s="1" t="str">
        <f t="shared" si="41"/>
        <v/>
      </c>
      <c r="E1534" s="26"/>
      <c r="K1534" s="32"/>
      <c r="L1534" s="30"/>
    </row>
    <row r="1535" spans="4:12" s="1" customFormat="1">
      <c r="D1535" s="1" t="str">
        <f t="shared" si="41"/>
        <v/>
      </c>
      <c r="E1535" s="26"/>
      <c r="K1535" s="32"/>
      <c r="L1535" s="30"/>
    </row>
    <row r="1536" spans="4:12" s="1" customFormat="1">
      <c r="D1536" s="1" t="str">
        <f t="shared" si="41"/>
        <v/>
      </c>
      <c r="E1536" s="26"/>
      <c r="K1536" s="32"/>
      <c r="L1536" s="30"/>
    </row>
    <row r="1537" spans="4:12" s="1" customFormat="1">
      <c r="D1537" s="1" t="str">
        <f t="shared" si="41"/>
        <v/>
      </c>
      <c r="E1537" s="26"/>
      <c r="K1537" s="32"/>
      <c r="L1537" s="30"/>
    </row>
    <row r="1538" spans="4:12" s="1" customFormat="1">
      <c r="D1538" s="1" t="str">
        <f t="shared" si="41"/>
        <v/>
      </c>
      <c r="E1538" s="26"/>
      <c r="K1538" s="32"/>
      <c r="L1538" s="30"/>
    </row>
    <row r="1539" spans="4:12" s="1" customFormat="1">
      <c r="D1539" s="1" t="str">
        <f t="shared" si="41"/>
        <v/>
      </c>
      <c r="E1539" s="26"/>
      <c r="K1539" s="32"/>
      <c r="L1539" s="30"/>
    </row>
    <row r="1540" spans="4:12" s="1" customFormat="1">
      <c r="D1540" s="1" t="str">
        <f t="shared" si="41"/>
        <v/>
      </c>
      <c r="E1540" s="26"/>
      <c r="K1540" s="32"/>
      <c r="L1540" s="30"/>
    </row>
    <row r="1541" spans="4:12" s="1" customFormat="1">
      <c r="D1541" s="1" t="str">
        <f t="shared" si="41"/>
        <v/>
      </c>
      <c r="E1541" s="26"/>
      <c r="K1541" s="32"/>
      <c r="L1541" s="30"/>
    </row>
    <row r="1542" spans="4:12" s="1" customFormat="1">
      <c r="D1542" s="1" t="str">
        <f t="shared" si="41"/>
        <v/>
      </c>
      <c r="E1542" s="26"/>
      <c r="K1542" s="32"/>
      <c r="L1542" s="30"/>
    </row>
    <row r="1543" spans="4:12" s="1" customFormat="1">
      <c r="D1543" s="1" t="str">
        <f t="shared" si="41"/>
        <v/>
      </c>
      <c r="E1543" s="26"/>
      <c r="K1543" s="32"/>
      <c r="L1543" s="30"/>
    </row>
    <row r="1544" spans="4:12" s="1" customFormat="1">
      <c r="D1544" s="1" t="str">
        <f t="shared" ref="D1544:D1607" si="42">IF(F1544&lt;&gt;"",RIGHT(F1544, LEN(F1544) - FIND(" - ", F1544) - 2),"")</f>
        <v/>
      </c>
      <c r="E1544" s="26"/>
      <c r="K1544" s="32"/>
      <c r="L1544" s="30"/>
    </row>
    <row r="1545" spans="4:12" s="1" customFormat="1">
      <c r="D1545" s="1" t="str">
        <f t="shared" si="42"/>
        <v/>
      </c>
      <c r="E1545" s="26"/>
      <c r="K1545" s="32"/>
      <c r="L1545" s="30"/>
    </row>
    <row r="1546" spans="4:12" s="1" customFormat="1">
      <c r="D1546" s="1" t="str">
        <f t="shared" si="42"/>
        <v/>
      </c>
      <c r="E1546" s="26"/>
      <c r="K1546" s="32"/>
      <c r="L1546" s="30"/>
    </row>
    <row r="1547" spans="4:12" s="1" customFormat="1">
      <c r="D1547" s="1" t="str">
        <f t="shared" si="42"/>
        <v/>
      </c>
      <c r="E1547" s="26"/>
      <c r="K1547" s="32"/>
      <c r="L1547" s="30"/>
    </row>
    <row r="1548" spans="4:12" s="1" customFormat="1">
      <c r="D1548" s="1" t="str">
        <f t="shared" si="42"/>
        <v/>
      </c>
      <c r="E1548" s="26"/>
      <c r="K1548" s="32"/>
      <c r="L1548" s="30"/>
    </row>
    <row r="1549" spans="4:12" s="1" customFormat="1">
      <c r="D1549" s="1" t="str">
        <f t="shared" si="42"/>
        <v/>
      </c>
      <c r="E1549" s="26"/>
      <c r="K1549" s="32"/>
      <c r="L1549" s="30"/>
    </row>
    <row r="1550" spans="4:12" s="1" customFormat="1">
      <c r="D1550" s="1" t="str">
        <f t="shared" si="42"/>
        <v/>
      </c>
      <c r="E1550" s="26"/>
      <c r="K1550" s="32"/>
      <c r="L1550" s="30"/>
    </row>
    <row r="1551" spans="4:12" s="1" customFormat="1">
      <c r="D1551" s="1" t="str">
        <f t="shared" si="42"/>
        <v/>
      </c>
      <c r="E1551" s="26"/>
      <c r="K1551" s="32"/>
      <c r="L1551" s="30"/>
    </row>
    <row r="1552" spans="4:12" s="1" customFormat="1">
      <c r="D1552" s="1" t="str">
        <f t="shared" si="42"/>
        <v/>
      </c>
      <c r="E1552" s="26"/>
      <c r="K1552" s="32"/>
      <c r="L1552" s="30"/>
    </row>
    <row r="1553" spans="4:12" s="1" customFormat="1">
      <c r="D1553" s="1" t="str">
        <f t="shared" si="42"/>
        <v/>
      </c>
      <c r="E1553" s="26"/>
      <c r="K1553" s="32"/>
      <c r="L1553" s="30"/>
    </row>
    <row r="1554" spans="4:12" s="1" customFormat="1">
      <c r="D1554" s="1" t="str">
        <f t="shared" si="42"/>
        <v/>
      </c>
      <c r="E1554" s="26"/>
      <c r="K1554" s="32"/>
      <c r="L1554" s="30"/>
    </row>
    <row r="1555" spans="4:12" s="1" customFormat="1">
      <c r="D1555" s="1" t="str">
        <f t="shared" si="42"/>
        <v/>
      </c>
      <c r="E1555" s="26"/>
      <c r="K1555" s="32"/>
      <c r="L1555" s="30"/>
    </row>
    <row r="1556" spans="4:12" s="1" customFormat="1">
      <c r="D1556" s="1" t="str">
        <f t="shared" si="42"/>
        <v/>
      </c>
      <c r="E1556" s="26"/>
      <c r="K1556" s="32"/>
      <c r="L1556" s="30"/>
    </row>
    <row r="1557" spans="4:12" s="1" customFormat="1">
      <c r="D1557" s="1" t="str">
        <f t="shared" si="42"/>
        <v/>
      </c>
      <c r="E1557" s="26"/>
      <c r="K1557" s="32"/>
      <c r="L1557" s="30"/>
    </row>
    <row r="1558" spans="4:12" s="1" customFormat="1">
      <c r="D1558" s="1" t="str">
        <f t="shared" si="42"/>
        <v/>
      </c>
      <c r="E1558" s="26"/>
      <c r="K1558" s="32"/>
      <c r="L1558" s="30"/>
    </row>
    <row r="1559" spans="4:12" s="1" customFormat="1">
      <c r="D1559" s="1" t="str">
        <f t="shared" si="42"/>
        <v/>
      </c>
      <c r="E1559" s="26"/>
      <c r="K1559" s="32"/>
      <c r="L1559" s="30"/>
    </row>
    <row r="1560" spans="4:12" s="1" customFormat="1">
      <c r="D1560" s="1" t="str">
        <f t="shared" si="42"/>
        <v/>
      </c>
      <c r="E1560" s="26"/>
      <c r="K1560" s="32"/>
      <c r="L1560" s="30"/>
    </row>
    <row r="1561" spans="4:12" s="1" customFormat="1">
      <c r="D1561" s="1" t="str">
        <f t="shared" si="42"/>
        <v/>
      </c>
      <c r="E1561" s="26"/>
      <c r="K1561" s="32"/>
      <c r="L1561" s="30"/>
    </row>
    <row r="1562" spans="4:12" s="1" customFormat="1">
      <c r="D1562" s="1" t="str">
        <f t="shared" si="42"/>
        <v/>
      </c>
      <c r="E1562" s="26"/>
      <c r="K1562" s="32"/>
      <c r="L1562" s="30"/>
    </row>
    <row r="1563" spans="4:12" s="1" customFormat="1">
      <c r="D1563" s="1" t="str">
        <f t="shared" si="42"/>
        <v/>
      </c>
      <c r="E1563" s="26"/>
      <c r="K1563" s="32"/>
      <c r="L1563" s="30"/>
    </row>
    <row r="1564" spans="4:12" s="1" customFormat="1">
      <c r="D1564" s="1" t="str">
        <f t="shared" si="42"/>
        <v/>
      </c>
      <c r="E1564" s="26"/>
      <c r="K1564" s="32"/>
      <c r="L1564" s="30"/>
    </row>
    <row r="1565" spans="4:12" s="1" customFormat="1">
      <c r="D1565" s="1" t="str">
        <f t="shared" si="42"/>
        <v/>
      </c>
      <c r="E1565" s="26"/>
      <c r="K1565" s="32"/>
      <c r="L1565" s="30"/>
    </row>
    <row r="1566" spans="4:12" s="1" customFormat="1">
      <c r="D1566" s="1" t="str">
        <f t="shared" si="42"/>
        <v/>
      </c>
      <c r="E1566" s="26"/>
      <c r="K1566" s="32"/>
      <c r="L1566" s="30"/>
    </row>
    <row r="1567" spans="4:12" s="1" customFormat="1">
      <c r="D1567" s="1" t="str">
        <f t="shared" si="42"/>
        <v/>
      </c>
      <c r="E1567" s="26"/>
      <c r="K1567" s="32"/>
      <c r="L1567" s="30"/>
    </row>
    <row r="1568" spans="4:12" s="1" customFormat="1">
      <c r="D1568" s="1" t="str">
        <f t="shared" si="42"/>
        <v/>
      </c>
      <c r="E1568" s="26"/>
      <c r="K1568" s="32"/>
      <c r="L1568" s="30"/>
    </row>
    <row r="1569" spans="4:12" s="1" customFormat="1">
      <c r="D1569" s="1" t="str">
        <f t="shared" si="42"/>
        <v/>
      </c>
      <c r="E1569" s="26"/>
      <c r="K1569" s="32"/>
      <c r="L1569" s="30"/>
    </row>
    <row r="1570" spans="4:12" s="1" customFormat="1">
      <c r="D1570" s="1" t="str">
        <f t="shared" si="42"/>
        <v/>
      </c>
      <c r="E1570" s="26"/>
      <c r="K1570" s="32"/>
      <c r="L1570" s="30"/>
    </row>
    <row r="1571" spans="4:12" s="1" customFormat="1">
      <c r="D1571" s="1" t="str">
        <f t="shared" si="42"/>
        <v/>
      </c>
      <c r="E1571" s="26"/>
      <c r="K1571" s="32"/>
      <c r="L1571" s="30"/>
    </row>
    <row r="1572" spans="4:12" s="1" customFormat="1">
      <c r="D1572" s="1" t="str">
        <f t="shared" si="42"/>
        <v/>
      </c>
      <c r="E1572" s="26"/>
      <c r="K1572" s="32"/>
      <c r="L1572" s="30"/>
    </row>
    <row r="1573" spans="4:12" s="1" customFormat="1">
      <c r="D1573" s="1" t="str">
        <f t="shared" si="42"/>
        <v/>
      </c>
      <c r="E1573" s="26"/>
      <c r="K1573" s="32"/>
      <c r="L1573" s="30"/>
    </row>
    <row r="1574" spans="4:12" s="1" customFormat="1">
      <c r="D1574" s="1" t="str">
        <f t="shared" si="42"/>
        <v/>
      </c>
      <c r="E1574" s="26"/>
      <c r="K1574" s="32"/>
      <c r="L1574" s="30"/>
    </row>
    <row r="1575" spans="4:12" s="1" customFormat="1">
      <c r="D1575" s="1" t="str">
        <f t="shared" si="42"/>
        <v/>
      </c>
      <c r="E1575" s="26"/>
      <c r="K1575" s="32"/>
      <c r="L1575" s="30"/>
    </row>
    <row r="1576" spans="4:12" s="1" customFormat="1">
      <c r="D1576" s="1" t="str">
        <f t="shared" si="42"/>
        <v/>
      </c>
      <c r="E1576" s="26"/>
      <c r="K1576" s="32"/>
      <c r="L1576" s="30"/>
    </row>
    <row r="1577" spans="4:12" s="1" customFormat="1">
      <c r="D1577" s="1" t="str">
        <f t="shared" si="42"/>
        <v/>
      </c>
      <c r="E1577" s="26"/>
      <c r="K1577" s="32"/>
      <c r="L1577" s="30"/>
    </row>
    <row r="1578" spans="4:12" s="1" customFormat="1">
      <c r="D1578" s="1" t="str">
        <f t="shared" si="42"/>
        <v/>
      </c>
      <c r="E1578" s="26"/>
      <c r="K1578" s="32"/>
      <c r="L1578" s="30"/>
    </row>
    <row r="1579" spans="4:12" s="1" customFormat="1">
      <c r="D1579" s="1" t="str">
        <f t="shared" si="42"/>
        <v/>
      </c>
      <c r="E1579" s="26"/>
      <c r="K1579" s="32"/>
      <c r="L1579" s="30"/>
    </row>
    <row r="1580" spans="4:12" s="1" customFormat="1">
      <c r="D1580" s="1" t="str">
        <f t="shared" si="42"/>
        <v/>
      </c>
      <c r="E1580" s="26"/>
      <c r="K1580" s="32"/>
      <c r="L1580" s="30"/>
    </row>
    <row r="1581" spans="4:12" s="1" customFormat="1">
      <c r="D1581" s="1" t="str">
        <f t="shared" si="42"/>
        <v/>
      </c>
      <c r="E1581" s="26"/>
      <c r="K1581" s="32"/>
      <c r="L1581" s="30"/>
    </row>
    <row r="1582" spans="4:12" s="1" customFormat="1">
      <c r="D1582" s="1" t="str">
        <f t="shared" si="42"/>
        <v/>
      </c>
      <c r="E1582" s="26"/>
      <c r="K1582" s="32"/>
      <c r="L1582" s="30"/>
    </row>
    <row r="1583" spans="4:12" s="1" customFormat="1">
      <c r="D1583" s="1" t="str">
        <f t="shared" si="42"/>
        <v/>
      </c>
      <c r="E1583" s="26"/>
      <c r="K1583" s="32"/>
      <c r="L1583" s="30"/>
    </row>
    <row r="1584" spans="4:12" s="1" customFormat="1">
      <c r="D1584" s="1" t="str">
        <f t="shared" si="42"/>
        <v/>
      </c>
      <c r="E1584" s="26"/>
      <c r="K1584" s="32"/>
      <c r="L1584" s="30"/>
    </row>
    <row r="1585" spans="4:12" s="1" customFormat="1">
      <c r="D1585" s="1" t="str">
        <f t="shared" si="42"/>
        <v/>
      </c>
      <c r="E1585" s="26"/>
      <c r="K1585" s="32"/>
      <c r="L1585" s="30"/>
    </row>
    <row r="1586" spans="4:12" s="1" customFormat="1">
      <c r="D1586" s="1" t="str">
        <f t="shared" si="42"/>
        <v/>
      </c>
      <c r="E1586" s="26"/>
      <c r="K1586" s="32"/>
      <c r="L1586" s="30"/>
    </row>
    <row r="1587" spans="4:12" s="1" customFormat="1">
      <c r="D1587" s="1" t="str">
        <f t="shared" si="42"/>
        <v/>
      </c>
      <c r="E1587" s="26"/>
      <c r="K1587" s="32"/>
      <c r="L1587" s="30"/>
    </row>
    <row r="1588" spans="4:12" s="1" customFormat="1">
      <c r="D1588" s="1" t="str">
        <f t="shared" si="42"/>
        <v/>
      </c>
      <c r="E1588" s="26"/>
      <c r="K1588" s="32"/>
      <c r="L1588" s="30"/>
    </row>
    <row r="1589" spans="4:12" s="1" customFormat="1">
      <c r="D1589" s="1" t="str">
        <f t="shared" si="42"/>
        <v/>
      </c>
      <c r="E1589" s="26"/>
      <c r="K1589" s="32"/>
      <c r="L1589" s="30"/>
    </row>
    <row r="1590" spans="4:12" s="1" customFormat="1">
      <c r="D1590" s="1" t="str">
        <f t="shared" si="42"/>
        <v/>
      </c>
      <c r="E1590" s="26"/>
      <c r="K1590" s="32"/>
      <c r="L1590" s="30"/>
    </row>
    <row r="1591" spans="4:12" s="1" customFormat="1">
      <c r="D1591" s="1" t="str">
        <f t="shared" si="42"/>
        <v/>
      </c>
      <c r="E1591" s="26"/>
      <c r="K1591" s="32"/>
      <c r="L1591" s="30"/>
    </row>
    <row r="1592" spans="4:12" s="1" customFormat="1">
      <c r="D1592" s="1" t="str">
        <f t="shared" si="42"/>
        <v/>
      </c>
      <c r="E1592" s="26"/>
      <c r="K1592" s="32"/>
      <c r="L1592" s="30"/>
    </row>
    <row r="1593" spans="4:12" s="1" customFormat="1">
      <c r="D1593" s="1" t="str">
        <f t="shared" si="42"/>
        <v/>
      </c>
      <c r="E1593" s="26"/>
      <c r="K1593" s="32"/>
      <c r="L1593" s="30"/>
    </row>
    <row r="1594" spans="4:12" s="1" customFormat="1">
      <c r="D1594" s="1" t="str">
        <f t="shared" si="42"/>
        <v/>
      </c>
      <c r="E1594" s="26"/>
      <c r="K1594" s="32"/>
      <c r="L1594" s="30"/>
    </row>
    <row r="1595" spans="4:12" s="1" customFormat="1">
      <c r="D1595" s="1" t="str">
        <f t="shared" si="42"/>
        <v/>
      </c>
      <c r="E1595" s="26"/>
      <c r="K1595" s="32"/>
      <c r="L1595" s="30"/>
    </row>
    <row r="1596" spans="4:12" s="1" customFormat="1">
      <c r="D1596" s="1" t="str">
        <f t="shared" si="42"/>
        <v/>
      </c>
      <c r="E1596" s="26"/>
      <c r="K1596" s="32"/>
      <c r="L1596" s="30"/>
    </row>
    <row r="1597" spans="4:12" s="1" customFormat="1">
      <c r="D1597" s="1" t="str">
        <f t="shared" si="42"/>
        <v/>
      </c>
      <c r="E1597" s="26"/>
      <c r="K1597" s="32"/>
      <c r="L1597" s="30"/>
    </row>
    <row r="1598" spans="4:12" s="1" customFormat="1">
      <c r="D1598" s="1" t="str">
        <f t="shared" si="42"/>
        <v/>
      </c>
      <c r="E1598" s="26"/>
      <c r="K1598" s="32"/>
      <c r="L1598" s="30"/>
    </row>
    <row r="1599" spans="4:12" s="1" customFormat="1">
      <c r="D1599" s="1" t="str">
        <f t="shared" si="42"/>
        <v/>
      </c>
      <c r="E1599" s="26"/>
      <c r="K1599" s="32"/>
      <c r="L1599" s="30"/>
    </row>
    <row r="1600" spans="4:12" s="1" customFormat="1">
      <c r="D1600" s="1" t="str">
        <f t="shared" si="42"/>
        <v/>
      </c>
      <c r="E1600" s="26"/>
      <c r="K1600" s="32"/>
      <c r="L1600" s="30"/>
    </row>
    <row r="1601" spans="4:12" s="1" customFormat="1">
      <c r="D1601" s="1" t="str">
        <f t="shared" si="42"/>
        <v/>
      </c>
      <c r="E1601" s="26"/>
      <c r="K1601" s="32"/>
      <c r="L1601" s="30"/>
    </row>
    <row r="1602" spans="4:12" s="1" customFormat="1">
      <c r="D1602" s="1" t="str">
        <f t="shared" si="42"/>
        <v/>
      </c>
      <c r="E1602" s="26"/>
      <c r="K1602" s="32"/>
      <c r="L1602" s="30"/>
    </row>
    <row r="1603" spans="4:12" s="1" customFormat="1">
      <c r="D1603" s="1" t="str">
        <f t="shared" si="42"/>
        <v/>
      </c>
      <c r="E1603" s="26"/>
      <c r="K1603" s="32"/>
      <c r="L1603" s="30"/>
    </row>
    <row r="1604" spans="4:12" s="1" customFormat="1">
      <c r="D1604" s="1" t="str">
        <f t="shared" si="42"/>
        <v/>
      </c>
      <c r="E1604" s="26"/>
      <c r="K1604" s="32"/>
      <c r="L1604" s="30"/>
    </row>
    <row r="1605" spans="4:12" s="1" customFormat="1">
      <c r="D1605" s="1" t="str">
        <f t="shared" si="42"/>
        <v/>
      </c>
      <c r="E1605" s="26"/>
      <c r="K1605" s="32"/>
      <c r="L1605" s="30"/>
    </row>
    <row r="1606" spans="4:12" s="1" customFormat="1">
      <c r="D1606" s="1" t="str">
        <f t="shared" si="42"/>
        <v/>
      </c>
      <c r="E1606" s="26"/>
      <c r="K1606" s="32"/>
      <c r="L1606" s="30"/>
    </row>
    <row r="1607" spans="4:12" s="1" customFormat="1">
      <c r="D1607" s="1" t="str">
        <f t="shared" si="42"/>
        <v/>
      </c>
      <c r="E1607" s="26"/>
      <c r="K1607" s="32"/>
      <c r="L1607" s="30"/>
    </row>
    <row r="1608" spans="4:12" s="1" customFormat="1">
      <c r="D1608" s="1" t="str">
        <f t="shared" ref="D1608:D1626" si="43">IF(F1608&lt;&gt;"",RIGHT(F1608, LEN(F1608) - FIND(" - ", F1608) - 2),"")</f>
        <v/>
      </c>
      <c r="E1608" s="26"/>
      <c r="K1608" s="32"/>
      <c r="L1608" s="30"/>
    </row>
    <row r="1609" spans="4:12" s="1" customFormat="1">
      <c r="D1609" s="1" t="str">
        <f t="shared" si="43"/>
        <v/>
      </c>
      <c r="E1609" s="26"/>
      <c r="K1609" s="32"/>
      <c r="L1609" s="30"/>
    </row>
    <row r="1610" spans="4:12" s="1" customFormat="1">
      <c r="D1610" s="1" t="str">
        <f t="shared" si="43"/>
        <v/>
      </c>
      <c r="E1610" s="26"/>
      <c r="K1610" s="32"/>
      <c r="L1610" s="30"/>
    </row>
    <row r="1611" spans="4:12" s="1" customFormat="1">
      <c r="D1611" s="1" t="str">
        <f t="shared" si="43"/>
        <v/>
      </c>
      <c r="E1611" s="26"/>
      <c r="K1611" s="32"/>
      <c r="L1611" s="30"/>
    </row>
    <row r="1612" spans="4:12" s="1" customFormat="1">
      <c r="D1612" s="1" t="str">
        <f t="shared" si="43"/>
        <v/>
      </c>
      <c r="E1612" s="26"/>
      <c r="K1612" s="32"/>
      <c r="L1612" s="30"/>
    </row>
    <row r="1613" spans="4:12" s="1" customFormat="1">
      <c r="D1613" s="1" t="str">
        <f t="shared" si="43"/>
        <v/>
      </c>
      <c r="E1613" s="26"/>
      <c r="K1613" s="32"/>
      <c r="L1613" s="30"/>
    </row>
    <row r="1614" spans="4:12" s="1" customFormat="1">
      <c r="D1614" s="1" t="str">
        <f t="shared" si="43"/>
        <v/>
      </c>
      <c r="E1614" s="26"/>
      <c r="K1614" s="32"/>
      <c r="L1614" s="30"/>
    </row>
    <row r="1615" spans="4:12" s="1" customFormat="1">
      <c r="D1615" s="1" t="str">
        <f t="shared" si="43"/>
        <v/>
      </c>
      <c r="E1615" s="26"/>
      <c r="K1615" s="32"/>
      <c r="L1615" s="30"/>
    </row>
    <row r="1616" spans="4:12" s="1" customFormat="1">
      <c r="D1616" s="1" t="str">
        <f t="shared" si="43"/>
        <v/>
      </c>
      <c r="E1616" s="26"/>
      <c r="K1616" s="32"/>
      <c r="L1616" s="30"/>
    </row>
    <row r="1617" spans="4:12" s="1" customFormat="1">
      <c r="D1617" s="1" t="str">
        <f t="shared" si="43"/>
        <v/>
      </c>
      <c r="E1617" s="26"/>
      <c r="K1617" s="32"/>
      <c r="L1617" s="30"/>
    </row>
    <row r="1618" spans="4:12" s="1" customFormat="1">
      <c r="D1618" s="1" t="str">
        <f t="shared" si="43"/>
        <v/>
      </c>
      <c r="E1618" s="26"/>
      <c r="K1618" s="32"/>
      <c r="L1618" s="30"/>
    </row>
    <row r="1619" spans="4:12" s="1" customFormat="1">
      <c r="D1619" s="1" t="str">
        <f t="shared" si="43"/>
        <v/>
      </c>
      <c r="E1619" s="26"/>
      <c r="K1619" s="32"/>
      <c r="L1619" s="30"/>
    </row>
    <row r="1620" spans="4:12" s="1" customFormat="1">
      <c r="D1620" s="1" t="str">
        <f t="shared" si="43"/>
        <v/>
      </c>
      <c r="E1620" s="26"/>
      <c r="K1620" s="32"/>
      <c r="L1620" s="30"/>
    </row>
    <row r="1621" spans="4:12" s="1" customFormat="1">
      <c r="D1621" s="1" t="str">
        <f t="shared" si="43"/>
        <v/>
      </c>
      <c r="E1621" s="26"/>
      <c r="K1621" s="32"/>
      <c r="L1621" s="30"/>
    </row>
    <row r="1622" spans="4:12" s="1" customFormat="1">
      <c r="D1622" s="1" t="str">
        <f t="shared" si="43"/>
        <v/>
      </c>
      <c r="E1622" s="26"/>
      <c r="K1622" s="32"/>
      <c r="L1622" s="30"/>
    </row>
    <row r="1623" spans="4:12" s="1" customFormat="1">
      <c r="D1623" s="1" t="str">
        <f t="shared" si="43"/>
        <v/>
      </c>
      <c r="E1623" s="26"/>
      <c r="K1623" s="32"/>
      <c r="L1623" s="30"/>
    </row>
    <row r="1624" spans="4:12" s="1" customFormat="1">
      <c r="D1624" s="1" t="str">
        <f t="shared" si="43"/>
        <v/>
      </c>
      <c r="E1624" s="26"/>
      <c r="K1624" s="32"/>
      <c r="L1624" s="30"/>
    </row>
    <row r="1625" spans="4:12" s="1" customFormat="1">
      <c r="D1625" s="1" t="str">
        <f t="shared" si="43"/>
        <v/>
      </c>
      <c r="E1625" s="26"/>
      <c r="K1625" s="32"/>
      <c r="L1625" s="30"/>
    </row>
    <row r="1626" spans="4:12" s="1" customFormat="1">
      <c r="D1626" s="1" t="str">
        <f t="shared" si="43"/>
        <v/>
      </c>
      <c r="E1626" s="26"/>
      <c r="K1626" s="32"/>
      <c r="L1626" s="30"/>
    </row>
  </sheetData>
  <autoFilter ref="A10:M1626">
    <filterColumn colId="9"/>
  </autoFilter>
  <conditionalFormatting sqref="C18:C286 A11:M42">
    <cfRule type="cellIs" dxfId="3" priority="1" operator="equal">
      <formula>""</formula>
    </cfRule>
  </conditionalFormatting>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sheetPr codeName="Feuil4" filterMode="1"/>
  <dimension ref="A1:G248"/>
  <sheetViews>
    <sheetView topLeftCell="A164" workbookViewId="0">
      <selection activeCell="D193" sqref="D193"/>
    </sheetView>
  </sheetViews>
  <sheetFormatPr baseColWidth="10" defaultRowHeight="14.25"/>
  <cols>
    <col min="2" max="2" width="17" bestFit="1" customWidth="1"/>
    <col min="3" max="4" width="17.375" customWidth="1"/>
    <col min="5" max="5" width="38.375" bestFit="1" customWidth="1"/>
    <col min="7" max="7" width="31.375" customWidth="1"/>
  </cols>
  <sheetData>
    <row r="1" spans="2:6" ht="15">
      <c r="B1" t="s">
        <v>166</v>
      </c>
      <c r="C1" s="13" t="s">
        <v>7</v>
      </c>
      <c r="D1" s="14" t="s">
        <v>140</v>
      </c>
      <c r="E1" s="14" t="s">
        <v>139</v>
      </c>
      <c r="F1" s="14" t="s">
        <v>141</v>
      </c>
    </row>
    <row r="2" spans="2:6" ht="14.25" hidden="1" customHeight="1">
      <c r="C2" s="7"/>
      <c r="E2" t="s">
        <v>36</v>
      </c>
    </row>
    <row r="3" spans="2:6">
      <c r="C3" s="7" t="s">
        <v>21</v>
      </c>
      <c r="D3" t="str">
        <f>IF(E3&lt;&gt;"",LEFT(E3,15),"")</f>
        <v>06 47 74 21 11</v>
      </c>
      <c r="E3" t="s">
        <v>38</v>
      </c>
      <c r="F3" t="s">
        <v>10</v>
      </c>
    </row>
    <row r="4" spans="2:6" ht="14.25" hidden="1" customHeight="1">
      <c r="C4" s="7"/>
      <c r="E4" t="s">
        <v>39</v>
      </c>
    </row>
    <row r="5" spans="2:6" ht="14.25" hidden="1" customHeight="1">
      <c r="C5" s="7"/>
      <c r="D5" t="str">
        <f>IF(E5&lt;&gt;"",LEFT(E5,15),"")</f>
        <v>06 87 59 37 18</v>
      </c>
      <c r="E5" t="s">
        <v>40</v>
      </c>
    </row>
    <row r="6" spans="2:6" ht="14.25" hidden="1" customHeight="1">
      <c r="C6" s="7"/>
      <c r="E6" t="s">
        <v>41</v>
      </c>
      <c r="F6" t="s">
        <v>10</v>
      </c>
    </row>
    <row r="7" spans="2:6" ht="14.25" hidden="1" customHeight="1">
      <c r="C7" s="7"/>
      <c r="D7" t="str">
        <f>IF(E7&lt;&gt;"",LEFT(E7,15),"")</f>
        <v>07 88 39 26 32</v>
      </c>
      <c r="E7" t="s">
        <v>42</v>
      </c>
      <c r="F7" t="s">
        <v>46</v>
      </c>
    </row>
    <row r="8" spans="2:6" ht="14.25" hidden="1" customHeight="1">
      <c r="C8" s="7"/>
      <c r="E8" t="s">
        <v>43</v>
      </c>
    </row>
    <row r="9" spans="2:6" ht="14.25" hidden="1" customHeight="1">
      <c r="C9" s="7"/>
      <c r="D9" t="str">
        <f>IF(E9&lt;&gt;"",LEFT(E9,15),"")</f>
        <v>06 82 09 07 51</v>
      </c>
      <c r="E9" t="s">
        <v>44</v>
      </c>
      <c r="F9" t="s">
        <v>46</v>
      </c>
    </row>
    <row r="10" spans="2:6" ht="14.25" hidden="1" customHeight="1">
      <c r="B10" t="s">
        <v>46</v>
      </c>
      <c r="C10" s="7"/>
      <c r="E10" t="s">
        <v>45</v>
      </c>
    </row>
    <row r="11" spans="2:6" ht="14.25" hidden="1" customHeight="1">
      <c r="B11" t="s">
        <v>10</v>
      </c>
      <c r="C11" s="7"/>
      <c r="D11" t="str">
        <f>IF(E11&lt;&gt;"",LEFT(E11,15),"")</f>
        <v/>
      </c>
    </row>
    <row r="12" spans="2:6" ht="14.25" customHeight="1">
      <c r="C12" s="7" t="s">
        <v>142</v>
      </c>
      <c r="D12" t="str">
        <f>IF(E12&lt;&gt;"",LEFT(E12,15),"")</f>
        <v>06 15 76 23 95</v>
      </c>
      <c r="E12" t="s">
        <v>47</v>
      </c>
      <c r="F12" s="10" t="s">
        <v>67</v>
      </c>
    </row>
    <row r="13" spans="2:6" ht="14.25" hidden="1" customHeight="1">
      <c r="C13" s="7"/>
      <c r="E13" t="s">
        <v>48</v>
      </c>
    </row>
    <row r="14" spans="2:6">
      <c r="C14" s="7" t="s">
        <v>21</v>
      </c>
      <c r="D14" t="str">
        <f>IF(E14&lt;&gt;"",LEFT(E14,15),"")</f>
        <v>06 99 77 50 88</v>
      </c>
      <c r="E14" t="s">
        <v>49</v>
      </c>
      <c r="F14" t="s">
        <v>10</v>
      </c>
    </row>
    <row r="15" spans="2:6" ht="14.25" hidden="1" customHeight="1">
      <c r="C15" s="7"/>
      <c r="E15" t="s">
        <v>50</v>
      </c>
    </row>
    <row r="16" spans="2:6" ht="14.25" hidden="1" customHeight="1">
      <c r="C16" s="7"/>
      <c r="D16" t="str">
        <f>IF(E16&lt;&gt;"",LEFT(E16,15),"")</f>
        <v>ok</v>
      </c>
      <c r="E16" t="s">
        <v>21</v>
      </c>
    </row>
    <row r="17" spans="1:7" ht="42.75">
      <c r="A17" t="s">
        <v>165</v>
      </c>
      <c r="B17" t="s">
        <v>163</v>
      </c>
      <c r="C17" s="7" t="s">
        <v>21</v>
      </c>
      <c r="D17" t="s">
        <v>154</v>
      </c>
      <c r="E17" s="7" t="s">
        <v>143</v>
      </c>
      <c r="F17" t="s">
        <v>10</v>
      </c>
      <c r="G17" t="s">
        <v>145</v>
      </c>
    </row>
    <row r="18" spans="1:7" ht="14.25" hidden="1" customHeight="1">
      <c r="C18" s="7"/>
      <c r="D18" t="str">
        <f>IF(E18&lt;&gt;"",LEFT(E18,15),"")</f>
        <v>ok</v>
      </c>
      <c r="E18" t="s">
        <v>21</v>
      </c>
    </row>
    <row r="19" spans="1:7" ht="42.75" hidden="1" customHeight="1">
      <c r="C19" s="7"/>
      <c r="D19" t="str">
        <f>IF(E19&lt;&gt;"",LEFT(E19,15),"")</f>
        <v>06 11 01 72 21</v>
      </c>
      <c r="E19" s="7" t="s">
        <v>51</v>
      </c>
    </row>
    <row r="20" spans="1:7" ht="14.25" hidden="1" customHeight="1">
      <c r="C20" s="7"/>
      <c r="D20" t="str">
        <f>IF(E20&lt;&gt;"",LEFT(E20,15),"")</f>
        <v>06 17 31 29 97</v>
      </c>
      <c r="E20" t="s">
        <v>52</v>
      </c>
      <c r="F20" t="s">
        <v>10</v>
      </c>
    </row>
    <row r="21" spans="1:7" ht="14.25" hidden="1" customHeight="1">
      <c r="C21" s="7"/>
      <c r="E21" t="s">
        <v>53</v>
      </c>
    </row>
    <row r="22" spans="1:7" ht="14.25" hidden="1" customHeight="1">
      <c r="C22" s="7"/>
      <c r="D22" t="str">
        <f t="shared" ref="D22:D85" si="0">IF(E22&lt;&gt;"",LEFT(E22,15),"")</f>
        <v/>
      </c>
    </row>
    <row r="23" spans="1:7" ht="99.75" hidden="1" customHeight="1">
      <c r="C23" s="7"/>
      <c r="D23" t="str">
        <f t="shared" si="0"/>
        <v>06 88 12 30 31</v>
      </c>
      <c r="E23" s="7" t="s">
        <v>54</v>
      </c>
      <c r="F23" t="s">
        <v>10</v>
      </c>
    </row>
    <row r="24" spans="1:7" ht="99.75" hidden="1" customHeight="1">
      <c r="C24" s="7"/>
      <c r="D24" t="str">
        <f t="shared" si="0"/>
        <v>06 83 29 04 45</v>
      </c>
      <c r="E24" s="7" t="s">
        <v>55</v>
      </c>
      <c r="F24" t="s">
        <v>10</v>
      </c>
    </row>
    <row r="25" spans="1:7" ht="85.5" hidden="1" customHeight="1">
      <c r="C25" s="7"/>
      <c r="D25" t="str">
        <f t="shared" si="0"/>
        <v>06 30 03 73 16</v>
      </c>
      <c r="E25" s="7" t="s">
        <v>56</v>
      </c>
    </row>
    <row r="26" spans="1:7" ht="85.5" hidden="1" customHeight="1">
      <c r="C26" s="7"/>
      <c r="D26" t="str">
        <f t="shared" si="0"/>
        <v>06 88 73 02 81</v>
      </c>
      <c r="E26" s="7" t="s">
        <v>57</v>
      </c>
      <c r="F26" t="s">
        <v>46</v>
      </c>
    </row>
    <row r="27" spans="1:7" ht="99.75" hidden="1" customHeight="1">
      <c r="C27" s="7"/>
      <c r="D27" t="str">
        <f t="shared" si="0"/>
        <v>06 16 03 20 23</v>
      </c>
      <c r="E27" s="7" t="s">
        <v>58</v>
      </c>
    </row>
    <row r="28" spans="1:7" ht="85.5" customHeight="1">
      <c r="C28" s="7" t="s">
        <v>66</v>
      </c>
      <c r="D28" t="str">
        <f t="shared" si="0"/>
        <v>07 88 98 65 37</v>
      </c>
      <c r="E28" s="7" t="s">
        <v>59</v>
      </c>
    </row>
    <row r="29" spans="1:7" ht="85.5" hidden="1" customHeight="1">
      <c r="C29" s="7"/>
      <c r="D29" t="str">
        <f t="shared" si="0"/>
        <v>06 20 01 62 43</v>
      </c>
      <c r="E29" s="7" t="s">
        <v>60</v>
      </c>
      <c r="F29" t="s">
        <v>10</v>
      </c>
    </row>
    <row r="30" spans="1:7" ht="85.5" hidden="1" customHeight="1">
      <c r="C30" s="7"/>
      <c r="D30" t="str">
        <f t="shared" si="0"/>
        <v>07 64 47 53 16</v>
      </c>
      <c r="E30" s="7" t="s">
        <v>61</v>
      </c>
      <c r="F30" t="s">
        <v>10</v>
      </c>
    </row>
    <row r="31" spans="1:7" ht="85.5" customHeight="1">
      <c r="C31" s="7" t="s">
        <v>63</v>
      </c>
      <c r="D31" t="str">
        <f t="shared" si="0"/>
        <v>06 99 90 59 62</v>
      </c>
      <c r="E31" s="7" t="s">
        <v>62</v>
      </c>
    </row>
    <row r="32" spans="1:7" ht="99.75" hidden="1" customHeight="1">
      <c r="C32" s="7"/>
      <c r="D32" t="str">
        <f t="shared" si="0"/>
        <v>06 65 45 26 69</v>
      </c>
      <c r="E32" s="7" t="s">
        <v>64</v>
      </c>
      <c r="F32" t="s">
        <v>46</v>
      </c>
    </row>
    <row r="33" spans="1:7" ht="85.5" hidden="1" customHeight="1">
      <c r="C33" s="7"/>
      <c r="D33" t="str">
        <f t="shared" si="0"/>
        <v>06 16 87 31 97</v>
      </c>
      <c r="E33" s="7" t="s">
        <v>65</v>
      </c>
      <c r="F33" t="s">
        <v>10</v>
      </c>
    </row>
    <row r="34" spans="1:7" ht="99.75" hidden="1" customHeight="1">
      <c r="C34" s="7"/>
      <c r="D34" t="str">
        <f t="shared" si="0"/>
        <v>06 26 43 07 04</v>
      </c>
      <c r="E34" s="7" t="s">
        <v>68</v>
      </c>
      <c r="F34" t="s">
        <v>10</v>
      </c>
    </row>
    <row r="35" spans="1:7" ht="99.75" hidden="1" customHeight="1">
      <c r="C35" s="7"/>
      <c r="D35" t="str">
        <f t="shared" si="0"/>
        <v>06 84 57 02 27</v>
      </c>
      <c r="E35" s="7" t="s">
        <v>69</v>
      </c>
      <c r="F35" t="s">
        <v>10</v>
      </c>
    </row>
    <row r="36" spans="1:7" ht="99.75" hidden="1" customHeight="1">
      <c r="C36" s="7"/>
      <c r="D36" t="str">
        <f t="shared" si="0"/>
        <v>06 61 78 36 52</v>
      </c>
      <c r="E36" s="7" t="s">
        <v>70</v>
      </c>
      <c r="F36" t="s">
        <v>10</v>
      </c>
    </row>
    <row r="37" spans="1:7" ht="85.5" customHeight="1">
      <c r="C37" s="7" t="s">
        <v>73</v>
      </c>
      <c r="D37" t="str">
        <f t="shared" si="0"/>
        <v>06 22 11 88 75</v>
      </c>
      <c r="E37" s="7" t="s">
        <v>71</v>
      </c>
    </row>
    <row r="38" spans="1:7" ht="85.5" hidden="1" customHeight="1">
      <c r="C38" s="7"/>
      <c r="D38" t="str">
        <f t="shared" si="0"/>
        <v>06 43 51 75 75</v>
      </c>
      <c r="E38" s="7" t="s">
        <v>72</v>
      </c>
      <c r="F38" t="s">
        <v>10</v>
      </c>
    </row>
    <row r="39" spans="1:7" ht="28.5">
      <c r="B39" t="s">
        <v>164</v>
      </c>
      <c r="C39" s="7" t="s">
        <v>74</v>
      </c>
      <c r="D39" t="s">
        <v>155</v>
      </c>
      <c r="E39" s="7" t="s">
        <v>144</v>
      </c>
      <c r="G39" t="s">
        <v>146</v>
      </c>
    </row>
    <row r="40" spans="1:7" ht="42.75" hidden="1" customHeight="1">
      <c r="C40" s="7"/>
      <c r="D40" t="str">
        <f t="shared" si="0"/>
        <v>06 64 23 14 31</v>
      </c>
      <c r="E40" s="7" t="s">
        <v>75</v>
      </c>
      <c r="F40" t="s">
        <v>10</v>
      </c>
    </row>
    <row r="41" spans="1:7" ht="99.75" customHeight="1">
      <c r="B41" t="s">
        <v>80</v>
      </c>
      <c r="C41" s="7" t="s">
        <v>77</v>
      </c>
      <c r="D41" t="str">
        <f t="shared" si="0"/>
        <v>06 16 47 62 74</v>
      </c>
      <c r="E41" s="7" t="s">
        <v>76</v>
      </c>
    </row>
    <row r="42" spans="1:7" ht="42.75" customHeight="1">
      <c r="C42" s="7" t="s">
        <v>78</v>
      </c>
      <c r="D42" t="str">
        <f t="shared" si="0"/>
        <v/>
      </c>
    </row>
    <row r="43" spans="1:7" ht="28.5" customHeight="1">
      <c r="C43" s="7" t="s">
        <v>79</v>
      </c>
      <c r="D43" t="str">
        <f t="shared" si="0"/>
        <v/>
      </c>
    </row>
    <row r="44" spans="1:7" ht="14.25" hidden="1" customHeight="1">
      <c r="C44" s="7"/>
      <c r="D44" t="str">
        <f t="shared" si="0"/>
        <v/>
      </c>
    </row>
    <row r="45" spans="1:7" ht="85.5" hidden="1" customHeight="1">
      <c r="A45" t="s">
        <v>180</v>
      </c>
      <c r="B45" t="s">
        <v>179</v>
      </c>
      <c r="C45" s="7"/>
      <c r="D45" t="str">
        <f t="shared" si="0"/>
        <v>06 18 18 74 87</v>
      </c>
      <c r="E45" s="7" t="s">
        <v>81</v>
      </c>
      <c r="F45" t="s">
        <v>10</v>
      </c>
    </row>
    <row r="46" spans="1:7" ht="14.25" hidden="1" customHeight="1">
      <c r="C46" s="7"/>
      <c r="D46" t="str">
        <f t="shared" si="0"/>
        <v/>
      </c>
    </row>
    <row r="47" spans="1:7" ht="14.25" hidden="1" customHeight="1">
      <c r="C47" s="7"/>
      <c r="D47" t="str">
        <f t="shared" si="0"/>
        <v/>
      </c>
    </row>
    <row r="48" spans="1:7" ht="85.5" hidden="1" customHeight="1">
      <c r="C48" s="7"/>
      <c r="D48" t="str">
        <f t="shared" si="0"/>
        <v>07 77 95 76 06</v>
      </c>
      <c r="E48" s="7" t="s">
        <v>82</v>
      </c>
      <c r="F48" t="s">
        <v>10</v>
      </c>
    </row>
    <row r="49" spans="1:7" ht="14.25" hidden="1" customHeight="1">
      <c r="C49" s="7"/>
      <c r="D49" t="str">
        <f t="shared" si="0"/>
        <v/>
      </c>
    </row>
    <row r="50" spans="1:7" ht="14.25" hidden="1" customHeight="1">
      <c r="C50" s="7"/>
      <c r="D50" t="str">
        <f t="shared" si="0"/>
        <v/>
      </c>
    </row>
    <row r="51" spans="1:7" ht="85.5" hidden="1" customHeight="1">
      <c r="C51" s="7"/>
      <c r="D51" t="str">
        <f t="shared" si="0"/>
        <v>06 32 40 67 80</v>
      </c>
      <c r="E51" s="7" t="s">
        <v>83</v>
      </c>
      <c r="F51" t="s">
        <v>10</v>
      </c>
    </row>
    <row r="52" spans="1:7" ht="14.25" hidden="1" customHeight="1">
      <c r="C52" s="7"/>
      <c r="D52" t="str">
        <f t="shared" si="0"/>
        <v/>
      </c>
    </row>
    <row r="53" spans="1:7" ht="14.25" hidden="1" customHeight="1">
      <c r="C53" s="7"/>
      <c r="D53" t="str">
        <f t="shared" si="0"/>
        <v/>
      </c>
    </row>
    <row r="54" spans="1:7" ht="42.75">
      <c r="A54" t="s">
        <v>167</v>
      </c>
      <c r="B54" t="s">
        <v>164</v>
      </c>
      <c r="C54" s="7" t="s">
        <v>85</v>
      </c>
      <c r="D54" t="s">
        <v>156</v>
      </c>
      <c r="E54" s="7" t="s">
        <v>84</v>
      </c>
      <c r="F54" t="s">
        <v>10</v>
      </c>
      <c r="G54" s="7" t="s">
        <v>147</v>
      </c>
    </row>
    <row r="55" spans="1:7" ht="14.25" hidden="1" customHeight="1">
      <c r="C55" s="7"/>
      <c r="D55" t="str">
        <f t="shared" si="0"/>
        <v/>
      </c>
    </row>
    <row r="56" spans="1:7" ht="14.25" hidden="1" customHeight="1">
      <c r="C56" s="7"/>
      <c r="D56" t="str">
        <f t="shared" si="0"/>
        <v/>
      </c>
    </row>
    <row r="57" spans="1:7" ht="14.25" hidden="1" customHeight="1">
      <c r="C57" s="7"/>
      <c r="D57" t="str">
        <f t="shared" si="0"/>
        <v/>
      </c>
    </row>
    <row r="58" spans="1:7" ht="85.5" hidden="1" customHeight="1">
      <c r="C58" s="7"/>
      <c r="D58" t="str">
        <f t="shared" si="0"/>
        <v>06 58 03 04 25</v>
      </c>
      <c r="E58" s="7" t="s">
        <v>86</v>
      </c>
      <c r="F58" t="s">
        <v>10</v>
      </c>
    </row>
    <row r="59" spans="1:7" ht="14.25" hidden="1" customHeight="1">
      <c r="C59" s="7"/>
      <c r="D59" t="str">
        <f t="shared" si="0"/>
        <v/>
      </c>
    </row>
    <row r="60" spans="1:7" ht="14.25" hidden="1" customHeight="1">
      <c r="C60" s="7"/>
      <c r="D60" t="str">
        <f t="shared" si="0"/>
        <v/>
      </c>
    </row>
    <row r="61" spans="1:7" ht="85.5" hidden="1" customHeight="1">
      <c r="C61" s="7"/>
      <c r="D61" t="str">
        <f t="shared" si="0"/>
        <v>06 61 19 88 44</v>
      </c>
      <c r="E61" s="11" t="s">
        <v>87</v>
      </c>
      <c r="F61" t="s">
        <v>10</v>
      </c>
    </row>
    <row r="62" spans="1:7" ht="14.25" hidden="1" customHeight="1">
      <c r="C62" s="7"/>
      <c r="D62" t="str">
        <f t="shared" si="0"/>
        <v/>
      </c>
    </row>
    <row r="63" spans="1:7" ht="14.25" hidden="1" customHeight="1">
      <c r="C63" s="7"/>
      <c r="D63" t="str">
        <f t="shared" si="0"/>
        <v/>
      </c>
    </row>
    <row r="64" spans="1:7" ht="85.5" hidden="1" customHeight="1">
      <c r="C64" s="7"/>
      <c r="D64" t="str">
        <f t="shared" si="0"/>
        <v>06 13 61 33 20</v>
      </c>
      <c r="E64" s="7" t="s">
        <v>89</v>
      </c>
      <c r="F64" s="8" t="s">
        <v>10</v>
      </c>
    </row>
    <row r="65" spans="3:6" ht="14.25" hidden="1" customHeight="1">
      <c r="C65" s="7"/>
      <c r="D65" t="str">
        <f t="shared" si="0"/>
        <v/>
      </c>
    </row>
    <row r="66" spans="3:6" ht="14.25" hidden="1" customHeight="1">
      <c r="C66" s="7"/>
      <c r="D66" t="str">
        <f t="shared" si="0"/>
        <v/>
      </c>
    </row>
    <row r="67" spans="3:6" ht="85.5" hidden="1" customHeight="1">
      <c r="C67" s="7"/>
      <c r="D67" t="str">
        <f t="shared" si="0"/>
        <v>06 07 74 08 46</v>
      </c>
      <c r="E67" s="7" t="s">
        <v>90</v>
      </c>
      <c r="F67" s="8" t="s">
        <v>10</v>
      </c>
    </row>
    <row r="68" spans="3:6" ht="14.25" hidden="1" customHeight="1">
      <c r="C68" s="7"/>
      <c r="D68" t="str">
        <f t="shared" si="0"/>
        <v/>
      </c>
    </row>
    <row r="69" spans="3:6" ht="14.25" hidden="1" customHeight="1">
      <c r="C69" s="7"/>
      <c r="D69" t="str">
        <f t="shared" si="0"/>
        <v/>
      </c>
    </row>
    <row r="70" spans="3:6" ht="85.5" hidden="1" customHeight="1">
      <c r="C70" s="7"/>
      <c r="D70" t="str">
        <f t="shared" si="0"/>
        <v>06 85 13 63 62</v>
      </c>
      <c r="E70" s="7" t="s">
        <v>91</v>
      </c>
      <c r="F70" s="8" t="s">
        <v>10</v>
      </c>
    </row>
    <row r="71" spans="3:6" ht="14.25" hidden="1" customHeight="1">
      <c r="C71" s="7"/>
      <c r="D71" t="str">
        <f t="shared" si="0"/>
        <v/>
      </c>
    </row>
    <row r="72" spans="3:6" ht="14.25" hidden="1" customHeight="1">
      <c r="C72" s="7"/>
      <c r="D72" t="str">
        <f t="shared" si="0"/>
        <v/>
      </c>
    </row>
    <row r="73" spans="3:6" ht="14.25" hidden="1" customHeight="1">
      <c r="C73" s="7"/>
      <c r="D73" t="str">
        <f t="shared" si="0"/>
        <v/>
      </c>
    </row>
    <row r="74" spans="3:6" ht="85.5" hidden="1" customHeight="1">
      <c r="C74" s="7"/>
      <c r="D74" t="str">
        <f t="shared" si="0"/>
        <v>06 48 36 84 23</v>
      </c>
      <c r="E74" s="7" t="s">
        <v>92</v>
      </c>
    </row>
    <row r="75" spans="3:6" ht="14.25" hidden="1" customHeight="1">
      <c r="C75" s="7"/>
      <c r="D75" t="str">
        <f t="shared" si="0"/>
        <v/>
      </c>
    </row>
    <row r="76" spans="3:6" ht="14.25" hidden="1" customHeight="1">
      <c r="C76" s="7"/>
      <c r="D76" t="str">
        <f t="shared" si="0"/>
        <v/>
      </c>
    </row>
    <row r="77" spans="3:6" ht="14.25" hidden="1" customHeight="1">
      <c r="C77" s="7"/>
      <c r="D77" t="str">
        <f t="shared" si="0"/>
        <v/>
      </c>
    </row>
    <row r="78" spans="3:6" ht="14.25" hidden="1" customHeight="1">
      <c r="C78" s="7"/>
      <c r="D78" t="str">
        <f t="shared" si="0"/>
        <v>556350486</v>
      </c>
      <c r="E78">
        <v>556350486</v>
      </c>
    </row>
    <row r="79" spans="3:6" ht="14.25" hidden="1" customHeight="1">
      <c r="C79" s="7"/>
      <c r="D79" t="str">
        <f t="shared" si="0"/>
        <v/>
      </c>
    </row>
    <row r="80" spans="3:6" ht="14.25" hidden="1" customHeight="1">
      <c r="C80" s="7"/>
      <c r="D80" t="str">
        <f t="shared" si="0"/>
        <v/>
      </c>
    </row>
    <row r="81" spans="3:6" ht="99.75" hidden="1" customHeight="1">
      <c r="C81" s="7"/>
      <c r="D81" t="str">
        <f t="shared" si="0"/>
        <v xml:space="preserve">06 28 76 61 21 </v>
      </c>
      <c r="E81" s="7" t="s">
        <v>93</v>
      </c>
      <c r="F81" t="s">
        <v>10</v>
      </c>
    </row>
    <row r="82" spans="3:6" ht="14.25" hidden="1" customHeight="1">
      <c r="C82" s="7"/>
      <c r="D82" t="str">
        <f t="shared" si="0"/>
        <v/>
      </c>
    </row>
    <row r="83" spans="3:6" ht="14.25" hidden="1" customHeight="1">
      <c r="C83" s="7"/>
      <c r="D83" t="str">
        <f t="shared" si="0"/>
        <v/>
      </c>
    </row>
    <row r="84" spans="3:6" ht="99.75" hidden="1" customHeight="1">
      <c r="C84" s="7"/>
      <c r="D84" t="str">
        <f t="shared" si="0"/>
        <v>06 95 60 71 44</v>
      </c>
      <c r="E84" s="7" t="s">
        <v>94</v>
      </c>
      <c r="F84" t="s">
        <v>10</v>
      </c>
    </row>
    <row r="85" spans="3:6" ht="14.25" hidden="1" customHeight="1">
      <c r="C85" s="7"/>
      <c r="D85" t="str">
        <f t="shared" si="0"/>
        <v/>
      </c>
    </row>
    <row r="86" spans="3:6" ht="14.25" hidden="1" customHeight="1">
      <c r="C86" s="7"/>
      <c r="D86" t="str">
        <f t="shared" ref="D86:D149" si="1">IF(E86&lt;&gt;"",LEFT(E86,15),"")</f>
        <v/>
      </c>
    </row>
    <row r="87" spans="3:6" ht="85.5" hidden="1" customHeight="1">
      <c r="C87" s="7"/>
      <c r="D87" t="str">
        <f t="shared" si="1"/>
        <v>06 85 15 05 46</v>
      </c>
      <c r="E87" s="7" t="s">
        <v>95</v>
      </c>
      <c r="F87" t="s">
        <v>10</v>
      </c>
    </row>
    <row r="88" spans="3:6" ht="14.25" hidden="1" customHeight="1">
      <c r="C88" s="7"/>
      <c r="D88" t="str">
        <f t="shared" si="1"/>
        <v/>
      </c>
    </row>
    <row r="89" spans="3:6" ht="14.25" hidden="1" customHeight="1">
      <c r="C89" s="7"/>
      <c r="D89" t="str">
        <f t="shared" si="1"/>
        <v/>
      </c>
    </row>
    <row r="90" spans="3:6" ht="14.25" hidden="1" customHeight="1">
      <c r="C90" s="7"/>
      <c r="D90" t="str">
        <f t="shared" si="1"/>
        <v/>
      </c>
    </row>
    <row r="91" spans="3:6" ht="85.5" hidden="1" customHeight="1">
      <c r="C91" s="7"/>
      <c r="D91" t="str">
        <f t="shared" si="1"/>
        <v>07 87 24 17 54</v>
      </c>
      <c r="E91" s="7" t="s">
        <v>96</v>
      </c>
      <c r="F91" t="s">
        <v>10</v>
      </c>
    </row>
    <row r="92" spans="3:6" ht="14.25" hidden="1" customHeight="1">
      <c r="C92" s="7"/>
      <c r="D92" t="str">
        <f t="shared" si="1"/>
        <v/>
      </c>
    </row>
    <row r="93" spans="3:6" ht="14.25" hidden="1" customHeight="1">
      <c r="C93" s="7"/>
      <c r="D93" t="str">
        <f t="shared" si="1"/>
        <v/>
      </c>
    </row>
    <row r="94" spans="3:6" ht="85.5" hidden="1" customHeight="1">
      <c r="C94" s="7"/>
      <c r="D94" t="str">
        <f t="shared" si="1"/>
        <v>06 58 42 91 50</v>
      </c>
      <c r="E94" s="7" t="s">
        <v>97</v>
      </c>
      <c r="F94" t="s">
        <v>10</v>
      </c>
    </row>
    <row r="95" spans="3:6" ht="14.25" hidden="1" customHeight="1">
      <c r="C95" s="7"/>
      <c r="D95" t="str">
        <f t="shared" si="1"/>
        <v/>
      </c>
    </row>
    <row r="96" spans="3:6" ht="14.25" hidden="1" customHeight="1">
      <c r="C96" s="7"/>
      <c r="D96" t="str">
        <f t="shared" si="1"/>
        <v/>
      </c>
    </row>
    <row r="97" spans="3:6" ht="85.5" hidden="1" customHeight="1">
      <c r="C97" s="7"/>
      <c r="D97" t="str">
        <f t="shared" si="1"/>
        <v>07 83 34 13 70</v>
      </c>
      <c r="E97" s="7" t="s">
        <v>98</v>
      </c>
      <c r="F97" t="s">
        <v>10</v>
      </c>
    </row>
    <row r="98" spans="3:6" ht="14.25" hidden="1" customHeight="1">
      <c r="C98" s="7"/>
      <c r="D98" t="str">
        <f t="shared" si="1"/>
        <v/>
      </c>
    </row>
    <row r="99" spans="3:6" ht="14.25" hidden="1" customHeight="1">
      <c r="C99" s="7"/>
      <c r="D99" t="str">
        <f t="shared" si="1"/>
        <v/>
      </c>
    </row>
    <row r="100" spans="3:6" ht="14.25" hidden="1" customHeight="1">
      <c r="C100" s="7"/>
      <c r="D100" t="str">
        <f t="shared" si="1"/>
        <v/>
      </c>
    </row>
    <row r="101" spans="3:6" ht="99.75" hidden="1" customHeight="1">
      <c r="C101" s="7"/>
      <c r="D101" t="str">
        <f t="shared" si="1"/>
        <v>06 26 40 83 58</v>
      </c>
      <c r="E101" s="7" t="s">
        <v>99</v>
      </c>
    </row>
    <row r="102" spans="3:6" ht="14.25" hidden="1" customHeight="1">
      <c r="C102" s="7"/>
      <c r="D102" t="str">
        <f t="shared" si="1"/>
        <v/>
      </c>
    </row>
    <row r="103" spans="3:6" ht="14.25" hidden="1" customHeight="1">
      <c r="C103" s="7"/>
      <c r="D103" t="str">
        <f t="shared" si="1"/>
        <v/>
      </c>
    </row>
    <row r="104" spans="3:6" ht="14.25" hidden="1" customHeight="1">
      <c r="C104" s="7"/>
      <c r="D104" t="str">
        <f t="shared" si="1"/>
        <v/>
      </c>
    </row>
    <row r="105" spans="3:6" ht="85.5" customHeight="1">
      <c r="C105" s="7" t="s">
        <v>102</v>
      </c>
      <c r="D105" t="str">
        <f t="shared" si="1"/>
        <v>06 24 22 87 39</v>
      </c>
      <c r="E105" s="15" t="s">
        <v>100</v>
      </c>
    </row>
    <row r="106" spans="3:6" ht="14.25" hidden="1" customHeight="1">
      <c r="C106" s="7"/>
      <c r="D106" t="str">
        <f t="shared" si="1"/>
        <v/>
      </c>
    </row>
    <row r="107" spans="3:6" ht="14.25" hidden="1" customHeight="1">
      <c r="C107" s="7"/>
      <c r="D107" t="str">
        <f t="shared" si="1"/>
        <v/>
      </c>
    </row>
    <row r="108" spans="3:6" ht="14.25" hidden="1" customHeight="1">
      <c r="C108" s="7"/>
      <c r="D108" t="str">
        <f t="shared" si="1"/>
        <v/>
      </c>
    </row>
    <row r="109" spans="3:6" ht="99.75" customHeight="1">
      <c r="C109" s="7" t="s">
        <v>104</v>
      </c>
      <c r="D109" t="str">
        <f t="shared" si="1"/>
        <v>06 17 52 46 40</v>
      </c>
      <c r="E109" s="7" t="s">
        <v>101</v>
      </c>
    </row>
    <row r="110" spans="3:6" ht="14.25" hidden="1" customHeight="1">
      <c r="C110" s="7"/>
      <c r="D110" t="str">
        <f t="shared" si="1"/>
        <v/>
      </c>
    </row>
    <row r="111" spans="3:6" ht="14.25" hidden="1" customHeight="1">
      <c r="C111" s="7"/>
      <c r="D111" t="str">
        <f t="shared" si="1"/>
        <v/>
      </c>
    </row>
    <row r="112" spans="3:6" ht="14.25" hidden="1" customHeight="1">
      <c r="C112" s="7"/>
      <c r="D112" t="str">
        <f t="shared" si="1"/>
        <v/>
      </c>
    </row>
    <row r="113" spans="3:7" ht="42.75">
      <c r="C113" s="7" t="s">
        <v>74</v>
      </c>
      <c r="D113" s="7" t="s">
        <v>157</v>
      </c>
      <c r="E113" s="7" t="s">
        <v>103</v>
      </c>
      <c r="G113" t="s">
        <v>148</v>
      </c>
    </row>
    <row r="114" spans="3:7" ht="14.25" hidden="1" customHeight="1">
      <c r="C114" s="7"/>
      <c r="D114" t="str">
        <f t="shared" si="1"/>
        <v/>
      </c>
    </row>
    <row r="115" spans="3:7" ht="14.25" hidden="1" customHeight="1">
      <c r="C115" s="7"/>
      <c r="D115" t="str">
        <f t="shared" si="1"/>
        <v/>
      </c>
    </row>
    <row r="116" spans="3:7" ht="14.25" hidden="1" customHeight="1">
      <c r="C116" s="7"/>
      <c r="D116" t="str">
        <f t="shared" si="1"/>
        <v/>
      </c>
    </row>
    <row r="117" spans="3:7" ht="85.5" hidden="1" customHeight="1">
      <c r="C117" s="7"/>
      <c r="D117" t="str">
        <f t="shared" si="1"/>
        <v>07 83 26 13 54</v>
      </c>
      <c r="E117" s="7" t="s">
        <v>105</v>
      </c>
      <c r="F117" t="s">
        <v>10</v>
      </c>
    </row>
    <row r="118" spans="3:7" ht="14.25" hidden="1" customHeight="1">
      <c r="C118" s="7"/>
      <c r="D118" t="str">
        <f t="shared" si="1"/>
        <v/>
      </c>
    </row>
    <row r="119" spans="3:7" ht="14.25" hidden="1" customHeight="1">
      <c r="C119" s="7"/>
      <c r="D119" t="str">
        <f t="shared" si="1"/>
        <v/>
      </c>
    </row>
    <row r="120" spans="3:7" ht="14.25" hidden="1" customHeight="1">
      <c r="C120" s="7"/>
      <c r="D120" t="str">
        <f t="shared" si="1"/>
        <v/>
      </c>
    </row>
    <row r="121" spans="3:7" ht="71.25" hidden="1" customHeight="1">
      <c r="C121" s="7"/>
      <c r="D121" t="str">
        <f t="shared" si="1"/>
        <v>06 98 85 40 09</v>
      </c>
      <c r="E121" s="7" t="s">
        <v>106</v>
      </c>
      <c r="F121" t="s">
        <v>10</v>
      </c>
    </row>
    <row r="122" spans="3:7" ht="14.25" hidden="1" customHeight="1">
      <c r="C122" s="7"/>
      <c r="D122" t="str">
        <f t="shared" si="1"/>
        <v/>
      </c>
    </row>
    <row r="123" spans="3:7" ht="14.25" hidden="1" customHeight="1">
      <c r="C123" s="7"/>
      <c r="D123" t="str">
        <f t="shared" si="1"/>
        <v/>
      </c>
    </row>
    <row r="124" spans="3:7" ht="71.25" hidden="1" customHeight="1">
      <c r="C124" s="7"/>
      <c r="D124" t="str">
        <f t="shared" si="1"/>
        <v>06 50 72 80 72</v>
      </c>
      <c r="E124" s="7" t="s">
        <v>107</v>
      </c>
      <c r="F124" t="s">
        <v>10</v>
      </c>
    </row>
    <row r="125" spans="3:7" ht="14.25" hidden="1" customHeight="1">
      <c r="C125" s="7"/>
      <c r="D125" t="str">
        <f t="shared" si="1"/>
        <v/>
      </c>
    </row>
    <row r="126" spans="3:7" ht="14.25" hidden="1" customHeight="1">
      <c r="C126" s="7"/>
      <c r="D126" t="str">
        <f t="shared" si="1"/>
        <v/>
      </c>
    </row>
    <row r="127" spans="3:7" ht="14.25" hidden="1" customHeight="1">
      <c r="C127" s="7"/>
      <c r="D127" t="str">
        <f t="shared" si="1"/>
        <v/>
      </c>
    </row>
    <row r="128" spans="3:7" ht="85.5" hidden="1" customHeight="1">
      <c r="C128" s="7"/>
      <c r="D128" t="str">
        <f t="shared" si="1"/>
        <v>06 84 18 15 83</v>
      </c>
      <c r="E128" s="7" t="s">
        <v>108</v>
      </c>
    </row>
    <row r="129" spans="3:6" ht="14.25" hidden="1" customHeight="1">
      <c r="C129" s="7"/>
      <c r="D129" t="str">
        <f t="shared" si="1"/>
        <v/>
      </c>
    </row>
    <row r="130" spans="3:6" ht="14.25" hidden="1" customHeight="1">
      <c r="C130" s="7"/>
      <c r="D130" t="str">
        <f t="shared" si="1"/>
        <v/>
      </c>
    </row>
    <row r="131" spans="3:6" ht="85.5" hidden="1" customHeight="1">
      <c r="C131" s="7"/>
      <c r="D131" t="str">
        <f t="shared" si="1"/>
        <v>06 84 38 55 07</v>
      </c>
      <c r="E131" s="7" t="s">
        <v>109</v>
      </c>
    </row>
    <row r="132" spans="3:6" ht="14.25" hidden="1" customHeight="1">
      <c r="C132" s="7"/>
      <c r="D132" t="str">
        <f t="shared" si="1"/>
        <v/>
      </c>
    </row>
    <row r="133" spans="3:6" ht="14.25" hidden="1" customHeight="1">
      <c r="C133" s="7"/>
      <c r="D133" t="str">
        <f t="shared" si="1"/>
        <v/>
      </c>
    </row>
    <row r="134" spans="3:6" ht="14.25" hidden="1" customHeight="1">
      <c r="C134" s="7"/>
      <c r="D134" t="str">
        <f t="shared" si="1"/>
        <v/>
      </c>
    </row>
    <row r="135" spans="3:6" ht="85.5" hidden="1" customHeight="1">
      <c r="C135" s="7"/>
      <c r="D135" t="str">
        <f t="shared" si="1"/>
        <v>06 13 95 29 34</v>
      </c>
      <c r="E135" s="7" t="s">
        <v>110</v>
      </c>
    </row>
    <row r="136" spans="3:6" ht="14.25" hidden="1" customHeight="1">
      <c r="C136" s="7"/>
      <c r="D136" t="str">
        <f t="shared" si="1"/>
        <v/>
      </c>
    </row>
    <row r="137" spans="3:6" ht="14.25" hidden="1" customHeight="1">
      <c r="C137" s="7"/>
      <c r="D137" t="str">
        <f t="shared" si="1"/>
        <v/>
      </c>
    </row>
    <row r="138" spans="3:6" ht="14.25" hidden="1" customHeight="1">
      <c r="C138" s="7"/>
      <c r="D138" t="str">
        <f t="shared" si="1"/>
        <v/>
      </c>
    </row>
    <row r="139" spans="3:6" ht="99.75" customHeight="1">
      <c r="C139" s="7" t="s">
        <v>113</v>
      </c>
      <c r="D139" t="str">
        <f t="shared" si="1"/>
        <v>06 41 80 75 68</v>
      </c>
      <c r="E139" s="7" t="s">
        <v>111</v>
      </c>
    </row>
    <row r="140" spans="3:6" ht="14.25" hidden="1" customHeight="1">
      <c r="C140" s="7"/>
      <c r="D140" t="str">
        <f t="shared" si="1"/>
        <v/>
      </c>
    </row>
    <row r="141" spans="3:6" ht="14.25" hidden="1" customHeight="1">
      <c r="C141" s="7"/>
      <c r="D141" t="str">
        <f t="shared" si="1"/>
        <v/>
      </c>
    </row>
    <row r="142" spans="3:6" ht="14.25" hidden="1" customHeight="1">
      <c r="C142" s="7"/>
      <c r="D142" t="str">
        <f t="shared" si="1"/>
        <v/>
      </c>
    </row>
    <row r="143" spans="3:6" ht="85.5" hidden="1" customHeight="1">
      <c r="C143" s="7"/>
      <c r="D143" t="str">
        <f t="shared" si="1"/>
        <v>06 21 03 99 10</v>
      </c>
      <c r="E143" s="7" t="s">
        <v>112</v>
      </c>
      <c r="F143" t="s">
        <v>10</v>
      </c>
    </row>
    <row r="144" spans="3:6" ht="14.25" hidden="1" customHeight="1">
      <c r="C144" s="7"/>
      <c r="D144" t="str">
        <f t="shared" si="1"/>
        <v/>
      </c>
    </row>
    <row r="145" spans="1:7" ht="14.25" hidden="1" customHeight="1">
      <c r="C145" s="7"/>
      <c r="D145" t="str">
        <f t="shared" si="1"/>
        <v/>
      </c>
    </row>
    <row r="146" spans="1:7" ht="14.25" hidden="1" customHeight="1">
      <c r="C146" s="7"/>
      <c r="D146" t="str">
        <f t="shared" si="1"/>
        <v/>
      </c>
    </row>
    <row r="147" spans="1:7" ht="42.75">
      <c r="A147" t="s">
        <v>21</v>
      </c>
      <c r="B147" t="s">
        <v>168</v>
      </c>
      <c r="C147" s="7" t="s">
        <v>21</v>
      </c>
      <c r="D147" s="7" t="s">
        <v>158</v>
      </c>
      <c r="E147" s="7" t="s">
        <v>114</v>
      </c>
      <c r="F147" t="s">
        <v>10</v>
      </c>
      <c r="G147" s="7" t="s">
        <v>149</v>
      </c>
    </row>
    <row r="148" spans="1:7" ht="14.25" hidden="1" customHeight="1">
      <c r="C148" s="7"/>
      <c r="D148" t="str">
        <f t="shared" si="1"/>
        <v>ok</v>
      </c>
      <c r="E148" t="s">
        <v>21</v>
      </c>
    </row>
    <row r="149" spans="1:7" ht="14.25" hidden="1" customHeight="1">
      <c r="C149" s="7"/>
      <c r="D149" t="str">
        <f t="shared" si="1"/>
        <v/>
      </c>
    </row>
    <row r="150" spans="1:7" ht="14.25" hidden="1" customHeight="1">
      <c r="C150" s="7"/>
      <c r="D150" t="str">
        <f t="shared" ref="D150:D212" si="2">IF(E150&lt;&gt;"",LEFT(E150,15),"")</f>
        <v/>
      </c>
    </row>
    <row r="151" spans="1:7" ht="14.25" hidden="1" customHeight="1">
      <c r="C151" s="7"/>
      <c r="D151" t="str">
        <f t="shared" si="2"/>
        <v/>
      </c>
    </row>
    <row r="152" spans="1:7" ht="14.25" hidden="1" customHeight="1">
      <c r="C152" s="7"/>
      <c r="D152" t="str">
        <f t="shared" si="2"/>
        <v/>
      </c>
    </row>
    <row r="153" spans="1:7" ht="85.5" hidden="1" customHeight="1">
      <c r="C153" s="7"/>
      <c r="D153" t="str">
        <f t="shared" si="2"/>
        <v>06 84 96 12 65</v>
      </c>
      <c r="E153" s="7" t="s">
        <v>115</v>
      </c>
    </row>
    <row r="154" spans="1:7" ht="14.25" hidden="1" customHeight="1">
      <c r="C154" s="7"/>
      <c r="D154" t="str">
        <f t="shared" si="2"/>
        <v/>
      </c>
    </row>
    <row r="155" spans="1:7" ht="14.25" hidden="1" customHeight="1">
      <c r="C155" s="7"/>
      <c r="D155" t="str">
        <f t="shared" si="2"/>
        <v/>
      </c>
    </row>
    <row r="156" spans="1:7" ht="85.5" hidden="1" customHeight="1">
      <c r="C156" s="7"/>
      <c r="D156" t="str">
        <f t="shared" si="2"/>
        <v>06 24 62 00 48</v>
      </c>
      <c r="E156" s="7" t="s">
        <v>116</v>
      </c>
    </row>
    <row r="157" spans="1:7" ht="14.25" hidden="1" customHeight="1">
      <c r="C157" s="7"/>
      <c r="D157" t="str">
        <f t="shared" si="2"/>
        <v/>
      </c>
    </row>
    <row r="158" spans="1:7" ht="14.25" hidden="1" customHeight="1">
      <c r="C158" s="7"/>
      <c r="D158" t="str">
        <f t="shared" si="2"/>
        <v/>
      </c>
    </row>
    <row r="159" spans="1:7" ht="14.25" hidden="1" customHeight="1">
      <c r="C159" s="7"/>
      <c r="D159" t="str">
        <f t="shared" si="2"/>
        <v/>
      </c>
    </row>
    <row r="160" spans="1:7" ht="99.75" hidden="1" customHeight="1">
      <c r="C160" s="7"/>
      <c r="D160" t="str">
        <f t="shared" si="2"/>
        <v>06 61 86 15 67</v>
      </c>
      <c r="E160" s="7" t="s">
        <v>117</v>
      </c>
    </row>
    <row r="161" spans="2:7" ht="14.25" hidden="1" customHeight="1">
      <c r="C161" s="7"/>
      <c r="D161" t="str">
        <f t="shared" si="2"/>
        <v/>
      </c>
    </row>
    <row r="162" spans="2:7" ht="14.25" hidden="1" customHeight="1">
      <c r="C162" s="7"/>
      <c r="D162" t="str">
        <f t="shared" si="2"/>
        <v/>
      </c>
    </row>
    <row r="163" spans="2:7" ht="14.25" hidden="1" customHeight="1">
      <c r="C163" s="7"/>
      <c r="D163" t="str">
        <f t="shared" si="2"/>
        <v/>
      </c>
    </row>
    <row r="164" spans="2:7" ht="71.25" customHeight="1">
      <c r="B164" s="7" t="s">
        <v>119</v>
      </c>
      <c r="C164" s="7" t="s">
        <v>120</v>
      </c>
      <c r="D164" t="str">
        <f t="shared" si="2"/>
        <v>06 29 30 83 90</v>
      </c>
      <c r="E164" s="7" t="s">
        <v>118</v>
      </c>
    </row>
    <row r="165" spans="2:7" ht="14.25" hidden="1" customHeight="1">
      <c r="C165" s="7"/>
      <c r="D165" t="str">
        <f t="shared" si="2"/>
        <v/>
      </c>
    </row>
    <row r="166" spans="2:7" ht="14.25" hidden="1" customHeight="1">
      <c r="C166" s="7"/>
      <c r="D166" t="str">
        <f t="shared" si="2"/>
        <v/>
      </c>
    </row>
    <row r="167" spans="2:7" ht="14.25" hidden="1" customHeight="1">
      <c r="D167" t="str">
        <f t="shared" si="2"/>
        <v/>
      </c>
    </row>
    <row r="168" spans="2:7" ht="42.75">
      <c r="B168" s="7" t="s">
        <v>169</v>
      </c>
      <c r="C168" s="7" t="s">
        <v>21</v>
      </c>
      <c r="D168" s="7" t="s">
        <v>159</v>
      </c>
      <c r="E168" s="7" t="s">
        <v>121</v>
      </c>
      <c r="G168" s="7" t="s">
        <v>150</v>
      </c>
    </row>
    <row r="169" spans="2:7" ht="14.25" hidden="1" customHeight="1">
      <c r="C169" s="7"/>
      <c r="D169" t="str">
        <f t="shared" si="2"/>
        <v/>
      </c>
    </row>
    <row r="170" spans="2:7" ht="14.25" hidden="1" customHeight="1">
      <c r="C170" s="7"/>
      <c r="D170" t="str">
        <f t="shared" si="2"/>
        <v/>
      </c>
    </row>
    <row r="171" spans="2:7" ht="14.25" hidden="1" customHeight="1">
      <c r="C171" s="7"/>
      <c r="D171" t="str">
        <f t="shared" si="2"/>
        <v/>
      </c>
    </row>
    <row r="172" spans="2:7" ht="14.25" hidden="1" customHeight="1">
      <c r="C172" s="7"/>
      <c r="D172" t="str">
        <f t="shared" si="2"/>
        <v/>
      </c>
    </row>
    <row r="173" spans="2:7" ht="85.5" customHeight="1">
      <c r="C173" s="7" t="s">
        <v>123</v>
      </c>
      <c r="D173" t="str">
        <f t="shared" si="2"/>
        <v>07 67 11 10 15</v>
      </c>
      <c r="E173" s="7" t="s">
        <v>122</v>
      </c>
    </row>
    <row r="174" spans="2:7" ht="14.25" hidden="1" customHeight="1">
      <c r="C174" s="7"/>
      <c r="D174" t="str">
        <f t="shared" si="2"/>
        <v/>
      </c>
    </row>
    <row r="175" spans="2:7" ht="14.25" hidden="1" customHeight="1">
      <c r="C175" s="7"/>
      <c r="D175" t="str">
        <f t="shared" si="2"/>
        <v/>
      </c>
    </row>
    <row r="176" spans="2:7" ht="14.25" hidden="1" customHeight="1">
      <c r="C176" s="7"/>
      <c r="D176" t="str">
        <f t="shared" si="2"/>
        <v/>
      </c>
    </row>
    <row r="177" spans="1:7" ht="85.5" hidden="1" customHeight="1">
      <c r="C177" s="7"/>
      <c r="D177" t="str">
        <f t="shared" si="2"/>
        <v>06 46 84 78 46</v>
      </c>
      <c r="E177" s="7" t="s">
        <v>124</v>
      </c>
      <c r="F177" t="s">
        <v>10</v>
      </c>
    </row>
    <row r="178" spans="1:7" ht="14.25" hidden="1" customHeight="1">
      <c r="C178" s="7"/>
      <c r="D178" t="str">
        <f t="shared" si="2"/>
        <v/>
      </c>
    </row>
    <row r="179" spans="1:7" ht="14.25" hidden="1" customHeight="1">
      <c r="C179" s="7"/>
      <c r="D179" t="str">
        <f t="shared" si="2"/>
        <v/>
      </c>
    </row>
    <row r="180" spans="1:7" ht="42.75">
      <c r="A180" t="s">
        <v>171</v>
      </c>
      <c r="B180" t="s">
        <v>170</v>
      </c>
      <c r="C180" s="7" t="s">
        <v>21</v>
      </c>
      <c r="D180" t="s">
        <v>160</v>
      </c>
      <c r="E180" s="7" t="s">
        <v>125</v>
      </c>
      <c r="G180" t="s">
        <v>151</v>
      </c>
    </row>
    <row r="181" spans="1:7" ht="14.25" hidden="1" customHeight="1">
      <c r="C181" s="7"/>
      <c r="D181" t="str">
        <f t="shared" si="2"/>
        <v/>
      </c>
    </row>
    <row r="182" spans="1:7" ht="14.25" hidden="1" customHeight="1">
      <c r="C182" s="7"/>
      <c r="D182" t="str">
        <f t="shared" si="2"/>
        <v/>
      </c>
    </row>
    <row r="183" spans="1:7" ht="14.25" hidden="1" customHeight="1">
      <c r="C183" s="7"/>
      <c r="D183" t="str">
        <f t="shared" si="2"/>
        <v/>
      </c>
    </row>
    <row r="184" spans="1:7" ht="85.5" hidden="1" customHeight="1">
      <c r="C184" s="7"/>
      <c r="D184" t="str">
        <f t="shared" si="2"/>
        <v>07 48 10 60 59</v>
      </c>
      <c r="E184" s="7" t="s">
        <v>126</v>
      </c>
    </row>
    <row r="185" spans="1:7" ht="14.25" hidden="1" customHeight="1">
      <c r="C185" s="7"/>
      <c r="D185" t="str">
        <f t="shared" si="2"/>
        <v/>
      </c>
    </row>
    <row r="186" spans="1:7" ht="14.25" hidden="1" customHeight="1">
      <c r="C186" s="7"/>
      <c r="D186" t="str">
        <f t="shared" si="2"/>
        <v/>
      </c>
    </row>
    <row r="187" spans="1:7" ht="42.75">
      <c r="A187" t="s">
        <v>21</v>
      </c>
      <c r="B187" t="s">
        <v>172</v>
      </c>
      <c r="C187" s="7" t="s">
        <v>21</v>
      </c>
      <c r="D187" s="7" t="s">
        <v>161</v>
      </c>
      <c r="E187" s="15" t="s">
        <v>127</v>
      </c>
      <c r="G187" t="s">
        <v>152</v>
      </c>
    </row>
    <row r="188" spans="1:7" ht="14.25" hidden="1" customHeight="1">
      <c r="C188" s="7"/>
      <c r="D188" t="str">
        <f t="shared" si="2"/>
        <v/>
      </c>
    </row>
    <row r="189" spans="1:7" ht="14.25" hidden="1" customHeight="1">
      <c r="C189" s="7"/>
      <c r="D189" t="str">
        <f t="shared" si="2"/>
        <v/>
      </c>
    </row>
    <row r="190" spans="1:7" ht="99.75" customHeight="1">
      <c r="C190" s="7" t="s">
        <v>130</v>
      </c>
      <c r="D190" t="str">
        <f t="shared" si="2"/>
        <v>06 62 89 08 69</v>
      </c>
      <c r="E190" s="7" t="s">
        <v>128</v>
      </c>
    </row>
    <row r="191" spans="1:7" ht="14.25" hidden="1" customHeight="1">
      <c r="C191" s="7"/>
      <c r="D191" t="str">
        <f t="shared" si="2"/>
        <v/>
      </c>
    </row>
    <row r="192" spans="1:7" ht="14.25" hidden="1" customHeight="1">
      <c r="C192" s="7"/>
      <c r="D192" t="str">
        <f t="shared" si="2"/>
        <v/>
      </c>
    </row>
    <row r="193" spans="3:6" ht="85.5" customHeight="1">
      <c r="C193" s="7" t="s">
        <v>131</v>
      </c>
      <c r="D193" t="str">
        <f t="shared" si="2"/>
        <v>06 70 35 64 24</v>
      </c>
      <c r="E193" s="7" t="s">
        <v>129</v>
      </c>
    </row>
    <row r="194" spans="3:6" ht="14.25" hidden="1" customHeight="1">
      <c r="C194" s="7"/>
      <c r="D194" t="str">
        <f t="shared" si="2"/>
        <v/>
      </c>
    </row>
    <row r="195" spans="3:6" ht="14.25" hidden="1" customHeight="1">
      <c r="C195" s="7"/>
      <c r="D195" t="str">
        <f t="shared" si="2"/>
        <v/>
      </c>
    </row>
    <row r="196" spans="3:6" ht="14.25" hidden="1" customHeight="1">
      <c r="C196" s="7"/>
      <c r="D196" t="str">
        <f t="shared" si="2"/>
        <v/>
      </c>
    </row>
    <row r="197" spans="3:6" ht="85.5" hidden="1" customHeight="1">
      <c r="C197" s="7"/>
      <c r="D197" t="str">
        <f t="shared" si="2"/>
        <v>06 26 85 75 78</v>
      </c>
      <c r="E197" s="7" t="s">
        <v>132</v>
      </c>
      <c r="F197" t="s">
        <v>10</v>
      </c>
    </row>
    <row r="198" spans="3:6" ht="14.25" hidden="1" customHeight="1">
      <c r="C198" s="7"/>
      <c r="D198" t="str">
        <f t="shared" si="2"/>
        <v/>
      </c>
    </row>
    <row r="199" spans="3:6" ht="14.25" hidden="1" customHeight="1">
      <c r="C199" s="7"/>
      <c r="D199" t="str">
        <f t="shared" si="2"/>
        <v/>
      </c>
    </row>
    <row r="200" spans="3:6" ht="14.25" hidden="1" customHeight="1">
      <c r="C200" s="7"/>
      <c r="D200" t="str">
        <f t="shared" si="2"/>
        <v/>
      </c>
    </row>
    <row r="201" spans="3:6" ht="85.5" hidden="1" customHeight="1">
      <c r="C201" s="7"/>
      <c r="D201" t="str">
        <f t="shared" si="2"/>
        <v>06 07 87 56 35</v>
      </c>
      <c r="E201" s="7" t="s">
        <v>133</v>
      </c>
    </row>
    <row r="202" spans="3:6" ht="14.25" hidden="1" customHeight="1">
      <c r="C202" s="7"/>
      <c r="D202" t="str">
        <f t="shared" si="2"/>
        <v/>
      </c>
    </row>
    <row r="203" spans="3:6" ht="14.25" hidden="1" customHeight="1">
      <c r="C203" s="7"/>
      <c r="D203" t="str">
        <f t="shared" si="2"/>
        <v/>
      </c>
    </row>
    <row r="204" spans="3:6" ht="14.25" hidden="1" customHeight="1">
      <c r="C204" s="7"/>
      <c r="D204" t="str">
        <f t="shared" si="2"/>
        <v/>
      </c>
    </row>
    <row r="205" spans="3:6" ht="85.5" hidden="1" customHeight="1">
      <c r="C205" s="7"/>
      <c r="D205" t="str">
        <f t="shared" si="2"/>
        <v>06 16 35 45 37</v>
      </c>
      <c r="E205" s="7" t="s">
        <v>134</v>
      </c>
    </row>
    <row r="206" spans="3:6" ht="14.25" hidden="1" customHeight="1">
      <c r="C206" s="7"/>
      <c r="D206" t="str">
        <f t="shared" si="2"/>
        <v/>
      </c>
    </row>
    <row r="207" spans="3:6" ht="14.25" hidden="1" customHeight="1">
      <c r="C207" s="7"/>
      <c r="D207" t="str">
        <f t="shared" si="2"/>
        <v/>
      </c>
    </row>
    <row r="208" spans="3:6" ht="14.25" hidden="1" customHeight="1">
      <c r="C208" s="7"/>
      <c r="D208" t="str">
        <f t="shared" si="2"/>
        <v/>
      </c>
    </row>
    <row r="209" spans="1:7" ht="85.5" hidden="1" customHeight="1">
      <c r="C209" s="7"/>
      <c r="D209" t="str">
        <f t="shared" si="2"/>
        <v>06 42 17 40 09</v>
      </c>
      <c r="E209" s="7" t="s">
        <v>135</v>
      </c>
    </row>
    <row r="210" spans="1:7" ht="14.25" hidden="1" customHeight="1">
      <c r="C210" s="7"/>
      <c r="D210" t="str">
        <f t="shared" si="2"/>
        <v/>
      </c>
    </row>
    <row r="211" spans="1:7" ht="14.25" hidden="1" customHeight="1">
      <c r="C211" s="7"/>
      <c r="D211" t="str">
        <f t="shared" si="2"/>
        <v/>
      </c>
    </row>
    <row r="212" spans="1:7" ht="14.25" hidden="1" customHeight="1">
      <c r="C212" s="7"/>
      <c r="D212" t="str">
        <f t="shared" si="2"/>
        <v/>
      </c>
    </row>
    <row r="213" spans="1:7" ht="42.75">
      <c r="A213" t="s">
        <v>173</v>
      </c>
      <c r="C213" s="7" t="s">
        <v>21</v>
      </c>
      <c r="D213" t="s">
        <v>162</v>
      </c>
      <c r="E213" s="7" t="s">
        <v>136</v>
      </c>
      <c r="G213" t="s">
        <v>153</v>
      </c>
    </row>
    <row r="214" spans="1:7" hidden="1">
      <c r="C214" s="7"/>
      <c r="D214" t="str">
        <f t="shared" ref="D214:D248" si="3">IF(E214&lt;&gt;"",LEFT(E214,15),"")</f>
        <v/>
      </c>
    </row>
    <row r="215" spans="1:7" hidden="1">
      <c r="C215" s="7"/>
      <c r="D215" t="str">
        <f t="shared" si="3"/>
        <v/>
      </c>
    </row>
    <row r="216" spans="1:7" hidden="1">
      <c r="C216" s="7"/>
      <c r="D216" t="str">
        <f t="shared" si="3"/>
        <v/>
      </c>
    </row>
    <row r="217" spans="1:7" ht="42.75" hidden="1">
      <c r="C217" s="7"/>
      <c r="D217" t="str">
        <f t="shared" si="3"/>
        <v>07 64 17 12 32</v>
      </c>
      <c r="E217" s="7" t="s">
        <v>137</v>
      </c>
    </row>
    <row r="218" spans="1:7" hidden="1">
      <c r="C218" s="7"/>
      <c r="D218" t="str">
        <f t="shared" si="3"/>
        <v/>
      </c>
    </row>
    <row r="219" spans="1:7" hidden="1">
      <c r="C219" s="7"/>
      <c r="D219" t="str">
        <f t="shared" si="3"/>
        <v/>
      </c>
    </row>
    <row r="220" spans="1:7" hidden="1">
      <c r="C220" s="7"/>
      <c r="D220" t="str">
        <f t="shared" si="3"/>
        <v/>
      </c>
    </row>
    <row r="221" spans="1:7" ht="42.75" hidden="1">
      <c r="C221" s="7"/>
      <c r="D221" t="str">
        <f t="shared" si="3"/>
        <v>06 43 34 18 51</v>
      </c>
      <c r="E221" s="7" t="s">
        <v>138</v>
      </c>
    </row>
    <row r="222" spans="1:7" hidden="1">
      <c r="C222" s="7"/>
      <c r="D222" t="str">
        <f t="shared" si="3"/>
        <v/>
      </c>
    </row>
    <row r="223" spans="1:7" hidden="1">
      <c r="C223" s="7"/>
      <c r="D223" t="str">
        <f t="shared" si="3"/>
        <v/>
      </c>
    </row>
    <row r="224" spans="1:7" hidden="1">
      <c r="C224" s="7"/>
      <c r="D224" t="str">
        <f t="shared" si="3"/>
        <v/>
      </c>
    </row>
    <row r="225" spans="3:4" hidden="1">
      <c r="C225" s="7"/>
      <c r="D225" t="str">
        <f t="shared" si="3"/>
        <v/>
      </c>
    </row>
    <row r="226" spans="3:4" hidden="1">
      <c r="C226" s="7"/>
      <c r="D226" t="str">
        <f t="shared" si="3"/>
        <v/>
      </c>
    </row>
    <row r="227" spans="3:4" hidden="1">
      <c r="C227" s="7"/>
      <c r="D227" t="str">
        <f t="shared" si="3"/>
        <v/>
      </c>
    </row>
    <row r="228" spans="3:4" hidden="1">
      <c r="C228" s="7"/>
      <c r="D228" t="str">
        <f t="shared" si="3"/>
        <v/>
      </c>
    </row>
    <row r="229" spans="3:4" hidden="1">
      <c r="C229" s="7"/>
      <c r="D229" t="str">
        <f t="shared" si="3"/>
        <v/>
      </c>
    </row>
    <row r="230" spans="3:4" hidden="1">
      <c r="C230" s="7"/>
      <c r="D230" t="str">
        <f t="shared" si="3"/>
        <v/>
      </c>
    </row>
    <row r="231" spans="3:4" hidden="1">
      <c r="C231" s="7"/>
      <c r="D231" t="str">
        <f t="shared" si="3"/>
        <v/>
      </c>
    </row>
    <row r="232" spans="3:4" hidden="1">
      <c r="C232" s="7"/>
      <c r="D232" t="str">
        <f t="shared" si="3"/>
        <v/>
      </c>
    </row>
    <row r="233" spans="3:4" hidden="1">
      <c r="C233" s="7"/>
      <c r="D233" t="str">
        <f t="shared" si="3"/>
        <v/>
      </c>
    </row>
    <row r="234" spans="3:4" hidden="1">
      <c r="C234" s="7"/>
      <c r="D234" t="str">
        <f t="shared" si="3"/>
        <v/>
      </c>
    </row>
    <row r="235" spans="3:4" hidden="1">
      <c r="C235" s="7"/>
      <c r="D235" t="str">
        <f t="shared" si="3"/>
        <v/>
      </c>
    </row>
    <row r="236" spans="3:4" hidden="1">
      <c r="C236" s="7"/>
      <c r="D236" t="str">
        <f t="shared" si="3"/>
        <v/>
      </c>
    </row>
    <row r="237" spans="3:4" hidden="1">
      <c r="C237" s="7"/>
      <c r="D237" t="str">
        <f t="shared" si="3"/>
        <v/>
      </c>
    </row>
    <row r="238" spans="3:4" hidden="1">
      <c r="C238" s="7"/>
      <c r="D238" t="str">
        <f t="shared" si="3"/>
        <v/>
      </c>
    </row>
    <row r="239" spans="3:4" hidden="1">
      <c r="C239" s="7"/>
      <c r="D239" t="str">
        <f t="shared" si="3"/>
        <v/>
      </c>
    </row>
    <row r="240" spans="3:4" hidden="1">
      <c r="C240" s="7"/>
      <c r="D240" t="str">
        <f t="shared" si="3"/>
        <v/>
      </c>
    </row>
    <row r="241" spans="3:4" hidden="1">
      <c r="C241" s="7"/>
      <c r="D241" t="str">
        <f t="shared" si="3"/>
        <v/>
      </c>
    </row>
    <row r="242" spans="3:4" hidden="1">
      <c r="C242" s="7"/>
      <c r="D242" t="str">
        <f t="shared" si="3"/>
        <v/>
      </c>
    </row>
    <row r="243" spans="3:4" hidden="1">
      <c r="C243" s="7"/>
      <c r="D243" t="str">
        <f t="shared" si="3"/>
        <v/>
      </c>
    </row>
    <row r="244" spans="3:4" hidden="1">
      <c r="C244" s="7"/>
      <c r="D244" t="str">
        <f t="shared" si="3"/>
        <v/>
      </c>
    </row>
    <row r="245" spans="3:4" hidden="1">
      <c r="C245" s="7"/>
      <c r="D245" t="str">
        <f t="shared" si="3"/>
        <v/>
      </c>
    </row>
    <row r="246" spans="3:4" hidden="1">
      <c r="C246" s="7"/>
      <c r="D246" t="str">
        <f t="shared" si="3"/>
        <v/>
      </c>
    </row>
    <row r="247" spans="3:4" hidden="1">
      <c r="C247" s="7"/>
      <c r="D247" t="str">
        <f t="shared" si="3"/>
        <v/>
      </c>
    </row>
    <row r="248" spans="3:4" hidden="1">
      <c r="C248" s="7"/>
      <c r="D248" t="str">
        <f t="shared" si="3"/>
        <v/>
      </c>
    </row>
  </sheetData>
  <autoFilter ref="B1:F248">
    <filterColumn colId="1">
      <customFilters>
        <customFilter operator="notEqual" val=" "/>
      </customFilters>
    </filterColumn>
  </autoFilter>
  <dataValidations count="1">
    <dataValidation type="list" allowBlank="1" showInputMessage="1" showErrorMessage="1" sqref="B14 F19:F234">
      <formula1>$B$13:$B$14</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Feuil5">
    <tabColor rgb="FFFF5050"/>
  </sheetPr>
  <dimension ref="A3:M24"/>
  <sheetViews>
    <sheetView workbookViewId="0">
      <selection activeCell="C17" sqref="C17"/>
    </sheetView>
  </sheetViews>
  <sheetFormatPr baseColWidth="10" defaultRowHeight="14.25"/>
  <cols>
    <col min="4" max="4" width="21.75" bestFit="1" customWidth="1"/>
    <col min="5" max="5" width="11.875" bestFit="1" customWidth="1"/>
    <col min="6" max="6" width="45.625" bestFit="1" customWidth="1"/>
    <col min="11" max="11" width="12.125" bestFit="1" customWidth="1"/>
    <col min="13" max="13" width="168.875" style="39" bestFit="1" customWidth="1"/>
  </cols>
  <sheetData>
    <row r="3" spans="1:13">
      <c r="C3">
        <f t="array" ref="C3">IFERROR(INDEX(DataBase!$M$10:$M$1995,SMALL(IF($B$7=DataBase!$J$10:$J$1995,ROW(DataBase!$B$10:$B$1995)-MIN(ROW(DataBase!$B$10))+1,""),ROWS(DataBase!$10:10))),"")</f>
        <v>0</v>
      </c>
    </row>
    <row r="7" spans="1:13">
      <c r="B7" s="18" t="s">
        <v>14</v>
      </c>
    </row>
    <row r="10" spans="1:13" s="18" customFormat="1" ht="15">
      <c r="A10" s="56" t="s">
        <v>3</v>
      </c>
      <c r="B10" s="56" t="s">
        <v>0</v>
      </c>
      <c r="C10" s="56" t="s">
        <v>2</v>
      </c>
      <c r="D10" s="62" t="s">
        <v>4</v>
      </c>
      <c r="E10" s="58" t="s">
        <v>5</v>
      </c>
      <c r="F10" s="61" t="s">
        <v>1</v>
      </c>
      <c r="G10" s="61" t="s">
        <v>200</v>
      </c>
      <c r="H10" s="61" t="s">
        <v>32</v>
      </c>
      <c r="I10" s="61" t="s">
        <v>7</v>
      </c>
      <c r="J10" s="61" t="s">
        <v>33</v>
      </c>
      <c r="K10" s="61" t="s">
        <v>216</v>
      </c>
      <c r="L10" s="61" t="s">
        <v>217</v>
      </c>
      <c r="M10" s="64" t="s">
        <v>8</v>
      </c>
    </row>
    <row r="11" spans="1:13" s="18" customFormat="1">
      <c r="A11" s="18" t="s">
        <v>225</v>
      </c>
      <c r="B11" s="59">
        <v>45719</v>
      </c>
      <c r="C11" s="18" t="s">
        <v>226</v>
      </c>
      <c r="D11" s="63" t="s">
        <v>227</v>
      </c>
      <c r="E11" s="51">
        <v>45719.575498495367</v>
      </c>
      <c r="F11" s="63" t="s">
        <v>16</v>
      </c>
      <c r="G11" s="18" t="s">
        <v>201</v>
      </c>
      <c r="H11" s="18" t="s">
        <v>12</v>
      </c>
      <c r="I11" s="18" t="s">
        <v>13</v>
      </c>
      <c r="J11" s="18" t="s">
        <v>14</v>
      </c>
      <c r="K11" s="32"/>
      <c r="L11" s="53"/>
      <c r="M11" s="65"/>
    </row>
    <row r="12" spans="1:13" s="18" customFormat="1">
      <c r="A12" s="18" t="s">
        <v>228</v>
      </c>
      <c r="B12" s="59">
        <v>45719</v>
      </c>
      <c r="C12" s="18" t="s">
        <v>229</v>
      </c>
      <c r="D12" s="63" t="s">
        <v>230</v>
      </c>
      <c r="E12" s="51">
        <v>45719.604906944442</v>
      </c>
      <c r="F12" s="63" t="s">
        <v>15</v>
      </c>
      <c r="G12" s="18" t="s">
        <v>210</v>
      </c>
      <c r="H12" s="18" t="s">
        <v>12</v>
      </c>
      <c r="I12" s="18" t="s">
        <v>13</v>
      </c>
      <c r="J12" s="18" t="s">
        <v>14</v>
      </c>
      <c r="K12" s="32"/>
      <c r="L12" s="53"/>
      <c r="M12" s="65"/>
    </row>
    <row r="13" spans="1:13" s="18" customFormat="1">
      <c r="A13" s="18" t="s">
        <v>231</v>
      </c>
      <c r="B13" s="59">
        <v>45720</v>
      </c>
      <c r="C13" s="18" t="s">
        <v>232</v>
      </c>
      <c r="D13" s="63" t="s">
        <v>233</v>
      </c>
      <c r="E13" s="51">
        <v>45720.485100231483</v>
      </c>
      <c r="F13" s="63" t="s">
        <v>24</v>
      </c>
      <c r="G13" s="18" t="s">
        <v>220</v>
      </c>
      <c r="H13" s="18" t="s">
        <v>25</v>
      </c>
      <c r="I13" s="18" t="s">
        <v>14</v>
      </c>
      <c r="J13" s="18" t="s">
        <v>14</v>
      </c>
      <c r="K13" s="32"/>
      <c r="L13" s="53"/>
      <c r="M13" s="65" t="s">
        <v>26</v>
      </c>
    </row>
    <row r="14" spans="1:13" s="92" customFormat="1">
      <c r="A14" s="92" t="s">
        <v>234</v>
      </c>
      <c r="B14" s="93">
        <v>45721</v>
      </c>
      <c r="C14" s="92" t="s">
        <v>235</v>
      </c>
      <c r="D14" s="94" t="s">
        <v>236</v>
      </c>
      <c r="E14" s="95">
        <v>45721.392752893516</v>
      </c>
      <c r="F14" s="63" t="s">
        <v>27</v>
      </c>
      <c r="G14" s="92" t="s">
        <v>220</v>
      </c>
      <c r="H14" s="92" t="s">
        <v>28</v>
      </c>
      <c r="I14" s="92" t="s">
        <v>20</v>
      </c>
      <c r="J14" s="92" t="s">
        <v>14</v>
      </c>
      <c r="K14" s="96"/>
      <c r="L14" s="97"/>
      <c r="M14" s="98" t="s">
        <v>29</v>
      </c>
    </row>
    <row r="15" spans="1:13" s="92" customFormat="1">
      <c r="A15" s="92" t="s">
        <v>237</v>
      </c>
      <c r="B15" s="93">
        <v>45721</v>
      </c>
      <c r="C15" s="92" t="s">
        <v>235</v>
      </c>
      <c r="D15" s="94" t="s">
        <v>236</v>
      </c>
      <c r="E15" s="95">
        <v>45721.660718287036</v>
      </c>
      <c r="F15" s="63" t="s">
        <v>27</v>
      </c>
      <c r="G15" s="92" t="s">
        <v>30</v>
      </c>
      <c r="I15" s="92" t="s">
        <v>14</v>
      </c>
      <c r="J15" s="92" t="s">
        <v>14</v>
      </c>
      <c r="K15" s="96"/>
      <c r="L15" s="97">
        <v>45783</v>
      </c>
      <c r="M15" s="98" t="s">
        <v>31</v>
      </c>
    </row>
    <row r="16" spans="1:13" s="18" customFormat="1">
      <c r="A16" s="18" t="s">
        <v>237</v>
      </c>
      <c r="B16" s="59">
        <v>45722</v>
      </c>
      <c r="C16" s="18" t="s">
        <v>238</v>
      </c>
      <c r="D16" s="63" t="s">
        <v>239</v>
      </c>
      <c r="E16" s="51">
        <v>45722.660717592589</v>
      </c>
      <c r="F16" s="63" t="s">
        <v>174</v>
      </c>
      <c r="G16" s="18" t="s">
        <v>175</v>
      </c>
      <c r="I16" s="18" t="s">
        <v>20</v>
      </c>
      <c r="J16" s="18" t="s">
        <v>14</v>
      </c>
      <c r="K16" s="32"/>
      <c r="L16" s="53"/>
      <c r="M16" s="65" t="s">
        <v>176</v>
      </c>
    </row>
    <row r="17" spans="1:13" s="18" customFormat="1">
      <c r="A17" s="18" t="s">
        <v>240</v>
      </c>
      <c r="B17" s="59">
        <v>45723</v>
      </c>
      <c r="C17" s="18" t="s">
        <v>241</v>
      </c>
      <c r="D17" s="63" t="s">
        <v>242</v>
      </c>
      <c r="E17" s="51">
        <v>45723.642347569446</v>
      </c>
      <c r="F17" s="63" t="s">
        <v>185</v>
      </c>
      <c r="G17" s="18" t="s">
        <v>220</v>
      </c>
      <c r="H17" s="18" t="s">
        <v>195</v>
      </c>
      <c r="J17" s="18" t="s">
        <v>14</v>
      </c>
      <c r="K17" s="32">
        <v>45727</v>
      </c>
      <c r="L17" s="53">
        <v>0.66666666666666663</v>
      </c>
      <c r="M17" s="65" t="s">
        <v>196</v>
      </c>
    </row>
    <row r="18" spans="1:13" s="18" customFormat="1">
      <c r="A18" s="18" t="s">
        <v>243</v>
      </c>
      <c r="B18" s="59">
        <v>45723</v>
      </c>
      <c r="C18" s="18" t="s">
        <v>244</v>
      </c>
      <c r="D18" s="63" t="s">
        <v>245</v>
      </c>
      <c r="E18" s="51">
        <v>45723.658323842596</v>
      </c>
      <c r="F18" s="63" t="s">
        <v>197</v>
      </c>
      <c r="G18" s="18" t="s">
        <v>220</v>
      </c>
      <c r="H18" s="18" t="s">
        <v>195</v>
      </c>
      <c r="J18" s="18" t="s">
        <v>14</v>
      </c>
      <c r="K18" s="32">
        <v>45727</v>
      </c>
      <c r="L18" s="53"/>
      <c r="M18" s="65" t="s">
        <v>198</v>
      </c>
    </row>
    <row r="19" spans="1:13" s="18" customFormat="1">
      <c r="A19" s="18" t="s">
        <v>246</v>
      </c>
      <c r="B19" s="59">
        <v>45724</v>
      </c>
      <c r="C19" s="18" t="s">
        <v>247</v>
      </c>
      <c r="D19" s="63" t="s">
        <v>248</v>
      </c>
      <c r="E19" s="51">
        <v>45724.408953124999</v>
      </c>
      <c r="F19" s="63" t="s">
        <v>204</v>
      </c>
      <c r="G19" s="18" t="s">
        <v>220</v>
      </c>
      <c r="H19" s="18" t="s">
        <v>191</v>
      </c>
      <c r="J19" s="18" t="s">
        <v>14</v>
      </c>
      <c r="K19" s="32"/>
      <c r="L19" s="53"/>
      <c r="M19" s="65" t="s">
        <v>206</v>
      </c>
    </row>
    <row r="20" spans="1:13" s="18" customFormat="1">
      <c r="A20" s="18" t="s">
        <v>249</v>
      </c>
      <c r="B20" s="59">
        <v>45724</v>
      </c>
      <c r="C20" s="18" t="s">
        <v>247</v>
      </c>
      <c r="D20" s="63" t="s">
        <v>248</v>
      </c>
      <c r="E20" s="51">
        <v>45724.40972476852</v>
      </c>
      <c r="F20" s="63" t="s">
        <v>204</v>
      </c>
      <c r="G20" s="18" t="s">
        <v>220</v>
      </c>
      <c r="H20" s="18" t="s">
        <v>191</v>
      </c>
      <c r="J20" s="18" t="s">
        <v>14</v>
      </c>
      <c r="K20" s="32"/>
      <c r="L20" s="53"/>
      <c r="M20" s="65" t="s">
        <v>206</v>
      </c>
    </row>
    <row r="21" spans="1:13" s="85" customFormat="1">
      <c r="A21" s="85" t="s">
        <v>250</v>
      </c>
      <c r="B21" s="86">
        <v>45724</v>
      </c>
      <c r="C21" s="85" t="s">
        <v>251</v>
      </c>
      <c r="D21" s="87" t="s">
        <v>252</v>
      </c>
      <c r="E21" s="88">
        <v>45724.41339386574</v>
      </c>
      <c r="F21" s="63" t="s">
        <v>208</v>
      </c>
      <c r="G21" s="85" t="s">
        <v>220</v>
      </c>
      <c r="H21" s="85" t="s">
        <v>195</v>
      </c>
      <c r="J21" s="85" t="s">
        <v>14</v>
      </c>
      <c r="K21" s="89"/>
      <c r="L21" s="90"/>
      <c r="M21" s="91" t="s">
        <v>209</v>
      </c>
    </row>
    <row r="22" spans="1:13" s="85" customFormat="1">
      <c r="A22" s="85" t="s">
        <v>253</v>
      </c>
      <c r="B22" s="86">
        <v>45726</v>
      </c>
      <c r="C22" s="85" t="s">
        <v>251</v>
      </c>
      <c r="D22" s="87" t="s">
        <v>252</v>
      </c>
      <c r="E22" s="88">
        <v>45726.49252673611</v>
      </c>
      <c r="F22" s="63" t="s">
        <v>208</v>
      </c>
      <c r="G22" s="85" t="s">
        <v>210</v>
      </c>
      <c r="H22" s="85" t="s">
        <v>195</v>
      </c>
      <c r="I22" s="85" t="s">
        <v>13</v>
      </c>
      <c r="J22" s="85" t="s">
        <v>14</v>
      </c>
      <c r="K22" s="89">
        <v>45727</v>
      </c>
      <c r="L22" s="90">
        <v>0.58333333333333337</v>
      </c>
      <c r="M22" s="91" t="s">
        <v>222</v>
      </c>
    </row>
    <row r="23" spans="1:13" s="77" customFormat="1">
      <c r="A23" s="77" t="s">
        <v>254</v>
      </c>
      <c r="B23" s="78">
        <v>45726</v>
      </c>
      <c r="C23" s="77" t="s">
        <v>255</v>
      </c>
      <c r="D23" s="79" t="s">
        <v>256</v>
      </c>
      <c r="E23" s="80">
        <v>45726.558152777776</v>
      </c>
      <c r="F23" s="63" t="s">
        <v>218</v>
      </c>
      <c r="G23" s="77" t="s">
        <v>201</v>
      </c>
      <c r="H23" s="77" t="s">
        <v>195</v>
      </c>
      <c r="I23" s="77" t="s">
        <v>13</v>
      </c>
      <c r="J23" s="77" t="s">
        <v>14</v>
      </c>
      <c r="K23" s="81">
        <v>45727</v>
      </c>
      <c r="L23" s="82">
        <v>0.375</v>
      </c>
      <c r="M23" s="83" t="s">
        <v>223</v>
      </c>
    </row>
    <row r="24" spans="1:13" s="77" customFormat="1">
      <c r="A24" s="77" t="s">
        <v>257</v>
      </c>
      <c r="B24" s="78">
        <v>45726</v>
      </c>
      <c r="C24" s="77" t="s">
        <v>258</v>
      </c>
      <c r="D24" s="79" t="s">
        <v>259</v>
      </c>
      <c r="E24" s="80" t="s">
        <v>219</v>
      </c>
      <c r="F24" s="63" t="s">
        <v>219</v>
      </c>
      <c r="G24" s="77" t="s">
        <v>210</v>
      </c>
      <c r="H24" s="77" t="s">
        <v>192</v>
      </c>
      <c r="I24" s="77" t="s">
        <v>13</v>
      </c>
      <c r="J24" s="77" t="s">
        <v>14</v>
      </c>
      <c r="K24" s="81">
        <v>45727</v>
      </c>
      <c r="L24" s="82">
        <v>0.375</v>
      </c>
      <c r="M24" s="83" t="s">
        <v>224</v>
      </c>
    </row>
  </sheetData>
  <conditionalFormatting sqref="B7 A11:M24">
    <cfRule type="cellIs" dxfId="2" priority="2" operator="equal">
      <formula>""</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5</vt:i4>
      </vt:variant>
    </vt:vector>
  </HeadingPairs>
  <TitlesOfParts>
    <vt:vector size="5" baseType="lpstr">
      <vt:lpstr>Console</vt:lpstr>
      <vt:lpstr>Legend</vt:lpstr>
      <vt:lpstr>DataBase</vt:lpstr>
      <vt:lpstr>Feuil1</vt:lpstr>
      <vt:lpstr>Rappel</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Yassine Daoui</dc:creator>
  <cp:lastModifiedBy>USER1</cp:lastModifiedBy>
  <dcterms:created xsi:type="dcterms:W3CDTF">2025-03-05T20:13:38Z</dcterms:created>
  <dcterms:modified xsi:type="dcterms:W3CDTF">2025-03-11T16:25:29Z</dcterms:modified>
</cp:coreProperties>
</file>